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bce59b5809d50/Documents/Apsara Mitra Documents/Documents/Alliance University Documents/Semester 4/Dissertation/"/>
    </mc:Choice>
  </mc:AlternateContent>
  <xr:revisionPtr revIDLastSave="6" documentId="13_ncr:1_{B813F077-A1FF-4B70-AB25-1F124778FB63}" xr6:coauthVersionLast="47" xr6:coauthVersionMax="47" xr10:uidLastSave="{651713DE-BC28-4C21-9E48-40D0E9634337}"/>
  <bookViews>
    <workbookView xWindow="-110" yWindow="-110" windowWidth="19420" windowHeight="10300" activeTab="1" xr2:uid="{1F8B884C-D4FE-4BF6-8633-75A773BE601E}"/>
  </bookViews>
  <sheets>
    <sheet name="SBI FY 2021 - 2025" sheetId="1" r:id="rId1"/>
    <sheet name="Ratio Analysis" sheetId="9" r:id="rId2"/>
    <sheet name="HDFC FY 2021 - 2025" sheetId="2" r:id="rId3"/>
    <sheet name="ICICI FY 2021 - 2025" sheetId="3" r:id="rId4"/>
    <sheet name="AXIS FY 2021 - 2025" sheetId="4" r:id="rId5"/>
    <sheet name="PNB FY 2021 - 2025" sheetId="5" r:id="rId6"/>
    <sheet name="BOB FY 2021 - 2025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9" l="1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2" i="9"/>
  <c r="D31" i="9"/>
  <c r="D30" i="9"/>
  <c r="D29" i="9"/>
  <c r="D28" i="9"/>
  <c r="D27" i="9"/>
  <c r="D26" i="9"/>
  <c r="D25" i="9"/>
  <c r="D24" i="9"/>
  <c r="D23" i="9"/>
  <c r="D22" i="9"/>
  <c r="D17" i="9"/>
  <c r="D21" i="9"/>
  <c r="D20" i="9"/>
  <c r="D19" i="9"/>
  <c r="D18" i="9"/>
  <c r="D16" i="9"/>
  <c r="D15" i="9"/>
  <c r="D14" i="9"/>
  <c r="D13" i="9"/>
  <c r="D12" i="9"/>
  <c r="I6" i="9"/>
  <c r="I5" i="9"/>
  <c r="I4" i="9"/>
  <c r="I3" i="9"/>
  <c r="I2" i="9"/>
  <c r="H6" i="9"/>
  <c r="H5" i="9"/>
  <c r="H4" i="9"/>
  <c r="H3" i="9"/>
  <c r="H2" i="9"/>
  <c r="G6" i="9"/>
  <c r="G5" i="9"/>
  <c r="G4" i="9"/>
  <c r="G3" i="9"/>
  <c r="F6" i="9"/>
  <c r="F5" i="9"/>
  <c r="F4" i="9"/>
  <c r="F3" i="9"/>
  <c r="E6" i="9"/>
  <c r="E5" i="9"/>
  <c r="E4" i="9"/>
  <c r="E3" i="9"/>
  <c r="D11" i="9"/>
  <c r="D10" i="9"/>
  <c r="D9" i="9"/>
  <c r="D8" i="9"/>
  <c r="D7" i="9"/>
  <c r="D2" i="9"/>
  <c r="D6" i="9"/>
  <c r="D5" i="9"/>
  <c r="D4" i="9"/>
  <c r="D3" i="9"/>
  <c r="C31" i="9"/>
  <c r="C30" i="9"/>
  <c r="C29" i="9"/>
  <c r="C28" i="9"/>
  <c r="C27" i="9"/>
  <c r="C22" i="9"/>
  <c r="C26" i="9"/>
  <c r="C25" i="9"/>
  <c r="C24" i="9"/>
  <c r="C23" i="9"/>
  <c r="C17" i="9"/>
  <c r="C21" i="9"/>
  <c r="C20" i="9"/>
  <c r="C16" i="9"/>
  <c r="C15" i="9"/>
  <c r="C19" i="9"/>
  <c r="C18" i="9"/>
  <c r="C12" i="9"/>
  <c r="C14" i="9"/>
  <c r="C13" i="9"/>
  <c r="C11" i="9"/>
  <c r="C10" i="9"/>
  <c r="C9" i="9"/>
  <c r="C8" i="9"/>
  <c r="C7" i="9"/>
  <c r="C2" i="9"/>
  <c r="C6" i="9"/>
  <c r="C5" i="9"/>
  <c r="C4" i="9"/>
  <c r="C3" i="9"/>
</calcChain>
</file>

<file path=xl/sharedStrings.xml><?xml version="1.0" encoding="utf-8"?>
<sst xmlns="http://schemas.openxmlformats.org/spreadsheetml/2006/main" count="183" uniqueCount="52">
  <si>
    <t>Particulars</t>
  </si>
  <si>
    <t xml:space="preserve">FY 2020-21 </t>
  </si>
  <si>
    <t xml:space="preserve">FY 2021-22 </t>
  </si>
  <si>
    <t xml:space="preserve">FY 2022-23 </t>
  </si>
  <si>
    <t xml:space="preserve">FY 2023-24 </t>
  </si>
  <si>
    <t xml:space="preserve">FY 2024-25 </t>
  </si>
  <si>
    <t>Total Assets</t>
  </si>
  <si>
    <t>Net Profit (PAT)</t>
  </si>
  <si>
    <t>Total Deposits</t>
  </si>
  <si>
    <t>Net Advances</t>
  </si>
  <si>
    <t>Total Borrowings</t>
  </si>
  <si>
    <t>Shareholder Equity*</t>
  </si>
  <si>
    <t>Net NPA (%)</t>
  </si>
  <si>
    <t>CAR (%) (Basel III)</t>
  </si>
  <si>
    <t>CASA Ratio (%)</t>
  </si>
  <si>
    <t>PCR (%)</t>
  </si>
  <si>
    <t>State Bank of India: Master Raw Data Sheet (FY 2021 – FY 2025)</t>
  </si>
  <si>
    <r>
      <t xml:space="preserve">All monetary figures are in </t>
    </r>
    <r>
      <rPr>
        <b/>
        <sz val="11"/>
        <color theme="1"/>
        <rFont val="Calibri"/>
        <family val="2"/>
        <scheme val="minor"/>
      </rPr>
      <t>₹ Crores</t>
    </r>
    <r>
      <rPr>
        <sz val="11"/>
        <color theme="1"/>
        <rFont val="Calibri"/>
        <family val="2"/>
        <scheme val="minor"/>
      </rPr>
      <t xml:space="preserve"> unless otherwise specified.</t>
    </r>
  </si>
  <si>
    <t>*Calculated as Capital + Reserves &amp; Surplus.</t>
  </si>
  <si>
    <t>FY 2020-21</t>
  </si>
  <si>
    <t>FY 2021-22</t>
  </si>
  <si>
    <t>FY 2022-23</t>
  </si>
  <si>
    <t>FY 2023-24*</t>
  </si>
  <si>
    <t>FY 2024-25*</t>
  </si>
  <si>
    <t>Total Advances</t>
  </si>
  <si>
    <t>Shareholder Equity</t>
  </si>
  <si>
    <t>CAR (%)</t>
  </si>
  <si>
    <t>HDFC Bank: Master Raw Data Sheet (FY 2021 – FY 2025)</t>
  </si>
  <si>
    <t>FY 2023-24</t>
  </si>
  <si>
    <t>FY 2024-25</t>
  </si>
  <si>
    <t>ICICI Bank: Master Raw Data Sheet (FY 2021 – FY 2025)</t>
  </si>
  <si>
    <t>FY 2022-23*</t>
  </si>
  <si>
    <t>Axis Bank: Master Raw Data Sheet (FY 2021 – FY 2025)</t>
  </si>
  <si>
    <t>*FY 2022-23 Net Profit was impacted by the one-time acquisition cost of Citibank's India Consumer Business.</t>
  </si>
  <si>
    <t>Total Advances*</t>
  </si>
  <si>
    <t>PCR (%)**</t>
  </si>
  <si>
    <t>Punjab National Bank: Master Raw Data Sheet (FY 2021 – FY 2025)</t>
  </si>
  <si>
    <t>*Figures represent Gross Global Advances . **PCR including Technical Write-Offs (TWO).</t>
  </si>
  <si>
    <t>Bank of Baroda: Master Raw Data Sheet (FY 2021 – FY 2025)</t>
  </si>
  <si>
    <t>*Represents Net Worth (Paid-up Capital + Reserves &amp; Surplus). **PCR including Technical Write-Offs (TWO).</t>
  </si>
  <si>
    <t>Bank</t>
  </si>
  <si>
    <t>Year</t>
  </si>
  <si>
    <t>Debt-Equity Ratio</t>
  </si>
  <si>
    <t>ROA (%)</t>
  </si>
  <si>
    <t>Credit-Deposit Ratio (%)</t>
  </si>
  <si>
    <t>SBI</t>
  </si>
  <si>
    <t>HDFC</t>
  </si>
  <si>
    <t>ICICI</t>
  </si>
  <si>
    <t>AXIS</t>
  </si>
  <si>
    <t>PNB</t>
  </si>
  <si>
    <t>BOB</t>
  </si>
  <si>
    <t xml:space="preserve">*Figures for FY24 and FY25 reflect the post-merger entity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</si>
</sst>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3" fontId="2" fillId="0" borderId="0" xfId="0" applyNumberFormat="1" applyFont="1" applyAlignment="1">
      <alignment vertical="center" wrapText="1" readingOrder="1"/>
    </xf>
    <xf numFmtId="10" fontId="2" fillId="0" borderId="0" xfId="0" applyNumberFormat="1" applyFont="1" applyAlignment="1">
      <alignment vertical="center" wrapText="1" readingOrder="1"/>
    </xf>
    <xf numFmtId="4" fontId="2" fillId="0" borderId="0" xfId="0" applyNumberFormat="1" applyFont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  <xf numFmtId="4" fontId="2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3" xfId="0" applyFont="1" applyBorder="1" applyAlignment="1">
      <alignment horizontal="center" vertical="top"/>
    </xf>
    <xf numFmtId="0" fontId="0" fillId="3" borderId="0" xfId="0" applyFill="1"/>
    <xf numFmtId="10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3" fillId="0" borderId="4" xfId="0" applyFont="1" applyBorder="1" applyAlignment="1">
      <alignment vertical="center" wrapText="1" readingOrder="1"/>
    </xf>
    <xf numFmtId="0" fontId="3" fillId="0" borderId="5" xfId="0" applyFont="1" applyBorder="1" applyAlignment="1">
      <alignment vertical="center" wrapText="1" readingOrder="1"/>
    </xf>
    <xf numFmtId="0" fontId="3" fillId="0" borderId="6" xfId="0" applyFont="1" applyBorder="1" applyAlignment="1">
      <alignment vertical="center" wrapText="1" readingOrder="1"/>
    </xf>
    <xf numFmtId="3" fontId="2" fillId="0" borderId="8" xfId="0" applyNumberFormat="1" applyFont="1" applyBorder="1" applyAlignment="1">
      <alignment vertical="center" wrapText="1" readingOrder="1"/>
    </xf>
    <xf numFmtId="10" fontId="2" fillId="0" borderId="8" xfId="0" applyNumberFormat="1" applyFont="1" applyBorder="1" applyAlignment="1">
      <alignment vertical="center" wrapText="1" readingOrder="1"/>
    </xf>
    <xf numFmtId="0" fontId="3" fillId="0" borderId="9" xfId="0" applyFont="1" applyBorder="1" applyAlignment="1">
      <alignment vertical="center" wrapText="1" readingOrder="1"/>
    </xf>
    <xf numFmtId="0" fontId="3" fillId="0" borderId="10" xfId="0" applyFont="1" applyBorder="1" applyAlignment="1">
      <alignment vertical="center" wrapText="1" readingOrder="1"/>
    </xf>
    <xf numFmtId="10" fontId="2" fillId="0" borderId="11" xfId="0" applyNumberFormat="1" applyFont="1" applyBorder="1" applyAlignment="1">
      <alignment vertical="center" wrapText="1" readingOrder="1"/>
    </xf>
    <xf numFmtId="10" fontId="2" fillId="0" borderId="7" xfId="0" applyNumberFormat="1" applyFont="1" applyBorder="1" applyAlignment="1">
      <alignment vertical="center" wrapText="1" readingOrder="1"/>
    </xf>
    <xf numFmtId="4" fontId="2" fillId="0" borderId="8" xfId="0" applyNumberFormat="1" applyFont="1" applyBorder="1" applyAlignment="1">
      <alignment vertical="center" wrapText="1" readingOrder="1"/>
    </xf>
    <xf numFmtId="10" fontId="0" fillId="4" borderId="0" xfId="0" applyNumberFormat="1" applyFill="1"/>
    <xf numFmtId="10" fontId="2" fillId="0" borderId="0" xfId="0" applyNumberFormat="1" applyFont="1" applyAlignment="1">
      <alignment horizontal="right" vertical="center" wrapText="1" readingOrder="1"/>
    </xf>
    <xf numFmtId="10" fontId="0" fillId="4" borderId="0" xfId="0" applyNumberFormat="1" applyFill="1" applyAlignment="1">
      <alignment horizontal="right"/>
    </xf>
    <xf numFmtId="10" fontId="0" fillId="5" borderId="0" xfId="0" applyNumberFormat="1" applyFill="1"/>
    <xf numFmtId="10" fontId="0" fillId="6" borderId="0" xfId="0" applyNumberFormat="1" applyFill="1"/>
    <xf numFmtId="10" fontId="0" fillId="2" borderId="0" xfId="0" applyNumberFormat="1" applyFill="1"/>
    <xf numFmtId="10" fontId="0" fillId="7" borderId="0" xfId="0" applyNumberFormat="1" applyFill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colors>
    <mruColors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2</xdr:row>
      <xdr:rowOff>57150</xdr:rowOff>
    </xdr:from>
    <xdr:to>
      <xdr:col>9</xdr:col>
      <xdr:colOff>977900</xdr:colOff>
      <xdr:row>13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0A8794-2BFA-60FF-C003-04165127E23B}"/>
            </a:ext>
          </a:extLst>
        </xdr:cNvPr>
        <xdr:cNvSpPr txBox="1"/>
      </xdr:nvSpPr>
      <xdr:spPr>
        <a:xfrm>
          <a:off x="8718550" y="514350"/>
          <a:ext cx="5175250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Critical Observations for SBI</a:t>
          </a: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Continuous Improvement in Asset Quality: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SBI’s Net NPA has seen a consistent decline from 1.50% (2021) to 0.47% (2025). This is a vital metric to highlight in your automated scoring logic.</a:t>
          </a:r>
        </a:p>
        <a:p>
          <a:endParaRPr lang="en-IN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Solvency Buffer: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Capital Adequacy Ratio (CAR) has remained comfortably above the regulatory requirement of 12%, peaking at 14.68% in FY23.</a:t>
          </a:r>
        </a:p>
        <a:p>
          <a:endParaRPr lang="en-IN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Risk Mitigation: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Provision Coverage Ratio (PCR) remained exceptionally high (above 90%) during FY22-23 before stabilizing in the mid-70s by FY25.</a:t>
          </a:r>
        </a:p>
        <a:p>
          <a:endParaRPr lang="en-IN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2</xdr:row>
      <xdr:rowOff>57150</xdr:rowOff>
    </xdr:from>
    <xdr:to>
      <xdr:col>9</xdr:col>
      <xdr:colOff>1276350</xdr:colOff>
      <xdr:row>17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C2AAF0-9D49-4166-80C4-E16995465A83}"/>
            </a:ext>
          </a:extLst>
        </xdr:cNvPr>
        <xdr:cNvSpPr txBox="1"/>
      </xdr:nvSpPr>
      <xdr:spPr>
        <a:xfrm>
          <a:off x="8718550" y="514350"/>
          <a:ext cx="5473700" cy="284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Critical Observations for HDFC Bank</a:t>
          </a: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Impact of Merger: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You can see a significant spike 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Total Assets (from ₹24.6L Cr to ₹36.1L Cr) and Borrowings in FY24, which is a direct result of bringing HDFC Ltd’s mortgage book onto the bank's balanc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 sheet.</a:t>
          </a:r>
        </a:p>
        <a:p>
          <a:endParaRPr lang="en-IN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Asset Quality Leadership: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Despite the massive scale-up, HDFC Bank has maintained 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its Net NPA below 0.50% throughout the 5-year period, which is significantly better than the industry 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average.</a:t>
          </a:r>
        </a:p>
        <a:p>
          <a:endParaRPr lang="en-IN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Capital Strength: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Capital Adequacy Ratio (CAR) reached its highest level of 19.6% in FY25, showing 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an extremely strong buffer against credit risk.</a:t>
          </a:r>
        </a:p>
        <a:p>
          <a:endParaRPr lang="en-IN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CASA Challenge: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There is a visible trend 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of the CASA Ratio dropping 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from 48.2% (FY22) to 35.3% (FY25). In your dissertation, you can analyze this as an "increased cost of funds" risk factor.</a:t>
          </a:r>
        </a:p>
        <a:p>
          <a:endParaRPr lang="en-IN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2</xdr:row>
      <xdr:rowOff>57150</xdr:rowOff>
    </xdr:from>
    <xdr:to>
      <xdr:col>9</xdr:col>
      <xdr:colOff>1276350</xdr:colOff>
      <xdr:row>18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78D51C-FC4F-44CA-9CA2-6D18EEC7CCF3}"/>
            </a:ext>
          </a:extLst>
        </xdr:cNvPr>
        <xdr:cNvSpPr txBox="1"/>
      </xdr:nvSpPr>
      <xdr:spPr>
        <a:xfrm>
          <a:off x="8718550" y="514350"/>
          <a:ext cx="5473700" cy="296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Critical Observations for ICICI Bank</a:t>
          </a: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Consistent Profitability Growth: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200" b="0">
              <a:latin typeface="Times New Roman" panose="02020603050405020304" pitchFamily="18" charset="0"/>
              <a:cs typeface="Times New Roman" panose="02020603050405020304" pitchFamily="18" charset="0"/>
            </a:rPr>
            <a:t>ICICI Bank has shown an extraordinary CAGR in Net Profit, nearly tripling from ₹16,193 Cr (2021) to ₹47,227 Cr (2025). This indicates high operational efficiency.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Asset Quality Dominance: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200" b="0">
              <a:latin typeface="Times New Roman" panose="02020603050405020304" pitchFamily="18" charset="0"/>
              <a:cs typeface="Times New Roman" panose="02020603050405020304" pitchFamily="18" charset="0"/>
            </a:rPr>
            <a:t>Similar to HDFC, ICICI has aggressively reduced its Net NPA from 1.14% to a very healthy 0.40%, showcasing a robust credit appraisal mechanism.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Capital Sufficiency: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While the </a:t>
          </a:r>
          <a:r>
            <a:rPr lang="en-IN" sz="1200" b="0">
              <a:latin typeface="Times New Roman" panose="02020603050405020304" pitchFamily="18" charset="0"/>
              <a:cs typeface="Times New Roman" panose="02020603050405020304" pitchFamily="18" charset="0"/>
            </a:rPr>
            <a:t>Capital Adequacy Ratio (CAR) has seen a slight decline as the bank deployed capital for growth, it remains significantly above the 12% regulatory threshold at 16.60%.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Deposit Resilience: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Despite the industry-wide trend of falling CASA, ICICI has managed to keep </a:t>
          </a:r>
          <a:r>
            <a:rPr lang="en-IN" sz="1200" b="0">
              <a:latin typeface="Times New Roman" panose="02020603050405020304" pitchFamily="18" charset="0"/>
              <a:cs typeface="Times New Roman" panose="02020603050405020304" pitchFamily="18" charset="0"/>
            </a:rPr>
            <a:t>its CASA Ratio above 41%, which is higher than HDFC Bank’s current levels, providing a lower cost of funds.</a:t>
          </a:r>
        </a:p>
        <a:p>
          <a:endParaRPr lang="en-IN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2</xdr:row>
      <xdr:rowOff>57150</xdr:rowOff>
    </xdr:from>
    <xdr:to>
      <xdr:col>10</xdr:col>
      <xdr:colOff>63500</xdr:colOff>
      <xdr:row>18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DC0FB0-7175-4BF9-9AD1-239197EBCF31}"/>
            </a:ext>
          </a:extLst>
        </xdr:cNvPr>
        <xdr:cNvSpPr txBox="1"/>
      </xdr:nvSpPr>
      <xdr:spPr>
        <a:xfrm>
          <a:off x="8718550" y="514350"/>
          <a:ext cx="5695950" cy="296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Critical Observations for Axis Bank</a:t>
          </a: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Strategic Acquisition Impact: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The FY23 dip in Net </a:t>
          </a:r>
          <a:r>
            <a:rPr lang="en-IN" sz="1200" b="0">
              <a:latin typeface="Times New Roman" panose="02020603050405020304" pitchFamily="18" charset="0"/>
              <a:cs typeface="Times New Roman" panose="02020603050405020304" pitchFamily="18" charset="0"/>
            </a:rPr>
            <a:t>Profit was a result of the Citibank India Consumer Business acquisition. However, the subsequent jump to ₹24,861 Cr in FY24 proves the successful integration and scaling of 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the retail franchise.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Aggressive Risk Reduction: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Axis Bank has shown one of the most drastic improvements in asset quality among large banks, </a:t>
          </a:r>
          <a:r>
            <a:rPr lang="en-IN" sz="1200" b="0">
              <a:latin typeface="Times New Roman" panose="02020603050405020304" pitchFamily="18" charset="0"/>
              <a:cs typeface="Times New Roman" panose="02020603050405020304" pitchFamily="18" charset="0"/>
            </a:rPr>
            <a:t>bringing Net NPA down from 1.05% to 0.30% in five years.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Deposit Franchise: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200" b="0">
              <a:latin typeface="Times New Roman" panose="02020603050405020304" pitchFamily="18" charset="0"/>
              <a:cs typeface="Times New Roman" panose="02020603050405020304" pitchFamily="18" charset="0"/>
            </a:rPr>
            <a:t>Despite a competitive environment, Axis has maintained a strong CASA Ratio, hovering around 40-47%, which provides a sustainable low-cost funding base for their lending 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activities.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Capital Positioning: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The bank </a:t>
          </a:r>
          <a:r>
            <a:rPr lang="en-IN" sz="1200" b="0">
              <a:latin typeface="Times New Roman" panose="02020603050405020304" pitchFamily="18" charset="0"/>
              <a:cs typeface="Times New Roman" panose="02020603050405020304" pitchFamily="18" charset="0"/>
            </a:rPr>
            <a:t>maintains a healthy Capital Adequacy Ratio (CAR) of 16.55%, well above regulatory requirements, supporting its "Tech-led" and "Bharat Banking" expansion strategies.</a:t>
          </a:r>
        </a:p>
        <a:p>
          <a:endParaRPr lang="en-IN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2</xdr:row>
      <xdr:rowOff>57150</xdr:rowOff>
    </xdr:from>
    <xdr:to>
      <xdr:col>9</xdr:col>
      <xdr:colOff>755650</xdr:colOff>
      <xdr:row>13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C7751E-480A-4D13-9608-6E1FC5089E4B}"/>
            </a:ext>
          </a:extLst>
        </xdr:cNvPr>
        <xdr:cNvSpPr txBox="1"/>
      </xdr:nvSpPr>
      <xdr:spPr>
        <a:xfrm>
          <a:off x="8718550" y="514350"/>
          <a:ext cx="4953000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Critical Observations for Punjab</a:t>
          </a:r>
          <a:r>
            <a:rPr lang="en-IN" sz="1400" b="1" u="sng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National</a:t>
          </a:r>
          <a:r>
            <a:rPr lang="en-IN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Bank</a:t>
          </a: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Asset Quality Transformation: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NB has undergone a massive reduction in credit risk, with Net NPA falling from 5.73% in 2021 to just 0.40% in 2025.</a:t>
          </a:r>
        </a:p>
        <a:p>
          <a:endParaRPr lang="en-IN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Profitability Milestone: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bank's Net Profit has grown significantly, recording a 101.7% increase in FY 2024-25 alone.</a:t>
          </a:r>
        </a:p>
        <a:p>
          <a:endParaRPr lang="en-IN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Strengthened Buffer: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Provision Coverage Ratio (PCR) is now at a decadal high of 96.82%, indicating extremely strong risk mitigation against potential defaults.</a:t>
          </a:r>
        </a:p>
        <a:p>
          <a:endParaRPr lang="en-IN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2</xdr:row>
      <xdr:rowOff>57150</xdr:rowOff>
    </xdr:from>
    <xdr:to>
      <xdr:col>10</xdr:col>
      <xdr:colOff>63500</xdr:colOff>
      <xdr:row>18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938E0F-329F-4EC5-9400-3D343BD5568D}"/>
            </a:ext>
          </a:extLst>
        </xdr:cNvPr>
        <xdr:cNvSpPr txBox="1"/>
      </xdr:nvSpPr>
      <xdr:spPr>
        <a:xfrm>
          <a:off x="8718550" y="514350"/>
          <a:ext cx="5695950" cy="296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Critical Observations for Bank of</a:t>
          </a:r>
          <a:r>
            <a:rPr lang="en-IN" sz="1400" b="1" u="sng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Baroda</a:t>
          </a:r>
          <a:endParaRPr lang="en-IN" sz="1400" b="1" u="sng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Explosive Profit Growth: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BoB has transitioned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from a modest Net Profit of ₹829 Cr in 2021 to a massive ₹20,715 Cr in 2025, representing 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complete financial turnaround. </a:t>
          </a:r>
        </a:p>
        <a:p>
          <a:endParaRPr lang="en-IN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Asset Quality Benchmark: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bank has aggressively cleaned its balance sheet, reducing Net NPA from 3.09% to 0.45%. A PCR of 94.75% in FY25 is among the highest in the public sector, showing extreme 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prudence in risk coverage. </a:t>
          </a:r>
        </a:p>
        <a:p>
          <a:endParaRPr lang="en-IN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Capital Reinforcement: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Capital Adequacy Ratio (CAR) has improved every single year, reaching 17.19% in FY25, which provides a very comfortable cushion for future credit expansion. </a:t>
          </a:r>
        </a:p>
        <a:p>
          <a:endParaRPr lang="en-IN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Digitization Leadership: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bank's "bob World" platform has become a centerpiece of its strategy, with the 2024-25 report highlighting the </a:t>
          </a:r>
          <a:r>
            <a:rPr lang="en-IN" sz="12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launch of "ADITI" (GenAI Virtual Relationship Manager) and "GyanSahay.AI" for internal 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knowledge management. </a:t>
          </a:r>
        </a:p>
        <a:p>
          <a:endParaRPr lang="en-IN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6E55E-8E93-46F8-ADBF-66685E7C19D3}" name="Table1" displayName="Table1" ref="A3:F13" totalsRowShown="0" headerRowDxfId="51" dataDxfId="49" headerRowBorderDxfId="50" tableBorderDxfId="48">
  <autoFilter ref="A3:F13" xr:uid="{1736E55E-8E93-46F8-ADBF-66685E7C19D3}"/>
  <tableColumns count="6">
    <tableColumn id="1" xr3:uid="{5154387E-BC25-47BC-AFAC-570EA75A4E9A}" name="Particulars" dataDxfId="47"/>
    <tableColumn id="2" xr3:uid="{793812BC-272A-42E8-9CDC-F601C9F0A035}" name="FY 2020-21 " dataDxfId="46"/>
    <tableColumn id="3" xr3:uid="{EA1E4EDF-C829-4F20-88A0-CE7911DD9F01}" name="FY 2021-22 " dataDxfId="45"/>
    <tableColumn id="4" xr3:uid="{65ECA43B-C9A7-4688-9794-E522952F848F}" name="FY 2022-23 " dataDxfId="44"/>
    <tableColumn id="5" xr3:uid="{997E4B47-0525-4026-87B7-648EC3D8B41D}" name="FY 2023-24 " dataDxfId="43"/>
    <tableColumn id="6" xr3:uid="{EBBBE480-930C-40BD-B35E-0B0FF0DB1197}" name="FY 2024-25 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278139-CC92-47AC-BA2D-E1B210FAEA61}" name="Table2" displayName="Table2" ref="A3:F13" totalsRowShown="0" headerRowDxfId="41" dataDxfId="39" headerRowBorderDxfId="40" tableBorderDxfId="38">
  <autoFilter ref="A3:F13" xr:uid="{E0278139-CC92-47AC-BA2D-E1B210FAEA61}"/>
  <tableColumns count="6">
    <tableColumn id="1" xr3:uid="{80EBEC16-A96C-486A-8C3E-558CB03E0638}" name="Particulars" dataDxfId="37"/>
    <tableColumn id="2" xr3:uid="{D760B6D2-62D1-4067-A570-ABC9DF939B2E}" name="FY 2020-21" dataDxfId="36"/>
    <tableColumn id="3" xr3:uid="{CF4EB715-3C82-49CF-A1D4-A56C9075EDD0}" name="FY 2021-22" dataDxfId="35"/>
    <tableColumn id="4" xr3:uid="{3D6C2414-FAED-40F2-996D-9066811303D6}" name="FY 2022-23" dataDxfId="34"/>
    <tableColumn id="5" xr3:uid="{8BEE78A0-C4FE-4593-A9AB-EF124071285D}" name="FY 2023-24*" dataDxfId="33"/>
    <tableColumn id="6" xr3:uid="{CCAE8CAC-646C-45EE-BF1E-51B494925C2F}" name="FY 2024-25*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319437-6FCD-44F7-81D8-99D2BDDB7A9B}" name="Table3" displayName="Table3" ref="A3:F13" totalsRowShown="0" headerRowDxfId="31" dataDxfId="29" headerRowBorderDxfId="30" tableBorderDxfId="28" totalsRowBorderDxfId="27">
  <autoFilter ref="A3:F13" xr:uid="{70319437-6FCD-44F7-81D8-99D2BDDB7A9B}"/>
  <tableColumns count="6">
    <tableColumn id="1" xr3:uid="{51B3C5EC-9A47-4BA5-8663-850A243F3B7A}" name="Particulars" dataDxfId="26"/>
    <tableColumn id="2" xr3:uid="{2984BB76-5E1C-4DA0-BACA-AE19581EEA15}" name="FY 2020-21" dataDxfId="25"/>
    <tableColumn id="3" xr3:uid="{63A402B2-3DB0-433B-8505-7C9E43DDFFC6}" name="FY 2021-22" dataDxfId="24"/>
    <tableColumn id="4" xr3:uid="{D9271FA6-DF17-49DA-B135-567615F535D9}" name="FY 2022-23" dataDxfId="23"/>
    <tableColumn id="5" xr3:uid="{C0355E38-6C47-4FA9-A7B6-78E1CD3FED89}" name="FY 2023-24" dataDxfId="22"/>
    <tableColumn id="6" xr3:uid="{29BBB02A-F2B5-4093-883A-C9A6290FC80C}" name="FY 2024-25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694718-B509-412B-9388-444BF8F5742C}" name="Table4" displayName="Table4" ref="A3:F13" totalsRowShown="0" headerRowDxfId="62" dataDxfId="60" headerRowBorderDxfId="61" tableBorderDxfId="59" totalsRowBorderDxfId="58">
  <autoFilter ref="A3:F13" xr:uid="{85694718-B509-412B-9388-444BF8F5742C}"/>
  <tableColumns count="6">
    <tableColumn id="1" xr3:uid="{181A1572-68AD-4307-82B6-48D011644538}" name="Particulars" dataDxfId="57"/>
    <tableColumn id="2" xr3:uid="{A7ECF9D4-1722-4846-B8B7-AADF4632F4A6}" name="FY 2020-21" dataDxfId="56"/>
    <tableColumn id="3" xr3:uid="{4E3E45B6-CFD5-4749-A9FD-CF194C8DC453}" name="FY 2021-22" dataDxfId="55"/>
    <tableColumn id="4" xr3:uid="{DBFB22C4-08D6-4BC6-8B75-9D88240CB77D}" name="FY 2022-23*" dataDxfId="54"/>
    <tableColumn id="5" xr3:uid="{60DA512E-E540-4B5C-98DC-89C8D356AE00}" name="FY 2023-24" dataDxfId="53"/>
    <tableColumn id="6" xr3:uid="{A7B1DC27-9B94-4A2E-BFA1-6A7F010A9289}" name="FY 2024-25" dataDxfId="5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D68C17-5081-408F-956C-9EF9080C20D4}" name="Table5" displayName="Table5" ref="A3:F13" totalsRowShown="0" headerRowDxfId="20" dataDxfId="18" headerRowBorderDxfId="19" tableBorderDxfId="17">
  <autoFilter ref="A3:F13" xr:uid="{A8D68C17-5081-408F-956C-9EF9080C20D4}"/>
  <tableColumns count="6">
    <tableColumn id="1" xr3:uid="{9E87A80E-37B6-4FE2-A275-CC56A052AA96}" name="Particulars" dataDxfId="16"/>
    <tableColumn id="2" xr3:uid="{E31A6173-410B-48DF-B609-301EEC378F03}" name="FY 2020-21" dataDxfId="15"/>
    <tableColumn id="3" xr3:uid="{8799A377-9CEF-4909-AD86-9407EB960885}" name="FY 2021-22" dataDxfId="14"/>
    <tableColumn id="4" xr3:uid="{2122D977-4632-4168-A881-DA0C737ECC89}" name="FY 2022-23" dataDxfId="13"/>
    <tableColumn id="5" xr3:uid="{74251E03-0A32-4BF0-8A1E-439E1CBE1D38}" name="FY 2023-24" dataDxfId="12"/>
    <tableColumn id="6" xr3:uid="{74F635CD-8002-40D4-957E-D001AE77499E}" name="FY 2024-25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9E42CD-F662-4412-A3E6-48F0B3886CB1}" name="Table6" displayName="Table6" ref="A3:F13" totalsRowShown="0" headerRowDxfId="10" dataDxfId="8" headerRowBorderDxfId="9" tableBorderDxfId="7" totalsRowBorderDxfId="6">
  <autoFilter ref="A3:F13" xr:uid="{9C9E42CD-F662-4412-A3E6-48F0B3886CB1}"/>
  <tableColumns count="6">
    <tableColumn id="1" xr3:uid="{3CBEF2ED-702B-4D11-BAE3-092B66A4139A}" name="Particulars" dataDxfId="5"/>
    <tableColumn id="2" xr3:uid="{F3748A16-1DF2-4C82-9294-8A28960E570F}" name="FY 2020-21" dataDxfId="4"/>
    <tableColumn id="3" xr3:uid="{C7025943-C2BC-4C19-9718-5A6332359D27}" name="FY 2021-22" dataDxfId="3"/>
    <tableColumn id="4" xr3:uid="{0FB2E275-2EF2-4381-B14C-214479CCFF10}" name="FY 2022-23" dataDxfId="2"/>
    <tableColumn id="5" xr3:uid="{AB93652C-A37F-4FC3-9BA4-14BA1B19DC3A}" name="FY 2023-24" dataDxfId="1"/>
    <tableColumn id="6" xr3:uid="{C7DC3EE1-23BB-41AD-A19C-4091BC3D99DB}" name="FY 2024-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9F71-755D-4634-963D-940D84D97362}">
  <dimension ref="A1:F15"/>
  <sheetViews>
    <sheetView zoomScale="99" workbookViewId="0">
      <selection activeCell="D17" sqref="D17"/>
    </sheetView>
  </sheetViews>
  <sheetFormatPr defaultColWidth="20.54296875" defaultRowHeight="14.5" x14ac:dyDescent="0.35"/>
  <sheetData>
    <row r="1" spans="1:6" ht="21" x14ac:dyDescent="0.5">
      <c r="A1" s="33" t="s">
        <v>16</v>
      </c>
      <c r="B1" s="33"/>
      <c r="C1" s="33"/>
      <c r="D1" s="33"/>
      <c r="E1" s="33"/>
      <c r="F1" s="33"/>
    </row>
    <row r="2" spans="1:6" ht="15" thickBot="1" x14ac:dyDescent="0.4">
      <c r="A2" s="34" t="s">
        <v>17</v>
      </c>
      <c r="B2" s="34"/>
      <c r="C2" s="34"/>
      <c r="D2" s="34"/>
      <c r="E2" s="34"/>
      <c r="F2" s="34"/>
    </row>
    <row r="3" spans="1:6" ht="15" thickBot="1" x14ac:dyDescent="0.4">
      <c r="A3" s="17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</row>
    <row r="4" spans="1:6" ht="15" thickBot="1" x14ac:dyDescent="0.4">
      <c r="A4" s="16" t="s">
        <v>6</v>
      </c>
      <c r="B4" s="1">
        <v>4534430</v>
      </c>
      <c r="C4" s="1">
        <v>4987597</v>
      </c>
      <c r="D4" s="1">
        <v>5516979</v>
      </c>
      <c r="E4" s="1">
        <v>6179694</v>
      </c>
      <c r="F4" s="1">
        <v>6676053</v>
      </c>
    </row>
    <row r="5" spans="1:6" ht="15" thickBot="1" x14ac:dyDescent="0.4">
      <c r="A5" s="16" t="s">
        <v>7</v>
      </c>
      <c r="B5" s="1">
        <v>20410</v>
      </c>
      <c r="C5" s="1">
        <v>31676</v>
      </c>
      <c r="D5" s="1">
        <v>50232</v>
      </c>
      <c r="E5" s="1">
        <v>61077</v>
      </c>
      <c r="F5" s="1">
        <v>70901</v>
      </c>
    </row>
    <row r="6" spans="1:6" ht="15" thickBot="1" x14ac:dyDescent="0.4">
      <c r="A6" s="16" t="s">
        <v>8</v>
      </c>
      <c r="B6" s="1">
        <v>3681277</v>
      </c>
      <c r="C6" s="1">
        <v>4051534</v>
      </c>
      <c r="D6" s="1">
        <v>4423778</v>
      </c>
      <c r="E6" s="1">
        <v>4916077</v>
      </c>
      <c r="F6" s="1">
        <v>5382190</v>
      </c>
    </row>
    <row r="7" spans="1:6" ht="15" thickBot="1" x14ac:dyDescent="0.4">
      <c r="A7" s="16" t="s">
        <v>9</v>
      </c>
      <c r="B7" s="1">
        <v>2449498</v>
      </c>
      <c r="C7" s="1">
        <v>2733967</v>
      </c>
      <c r="D7" s="1">
        <v>3199269</v>
      </c>
      <c r="E7" s="1">
        <v>3703971</v>
      </c>
      <c r="F7" s="1">
        <v>4163312</v>
      </c>
    </row>
    <row r="8" spans="1:6" ht="15" thickBot="1" x14ac:dyDescent="0.4">
      <c r="A8" s="16" t="s">
        <v>10</v>
      </c>
      <c r="B8" s="1">
        <v>417298</v>
      </c>
      <c r="C8" s="1">
        <v>426043</v>
      </c>
      <c r="D8" s="1">
        <v>493135</v>
      </c>
      <c r="E8" s="1">
        <v>597561</v>
      </c>
      <c r="F8" s="1">
        <v>563573</v>
      </c>
    </row>
    <row r="9" spans="1:6" ht="15" thickBot="1" x14ac:dyDescent="0.4">
      <c r="A9" s="16" t="s">
        <v>11</v>
      </c>
      <c r="B9" s="1">
        <v>253875</v>
      </c>
      <c r="C9" s="1">
        <v>280088</v>
      </c>
      <c r="D9" s="1">
        <v>327608</v>
      </c>
      <c r="E9" s="1">
        <v>377246</v>
      </c>
      <c r="F9" s="1">
        <v>441162</v>
      </c>
    </row>
    <row r="10" spans="1:6" ht="15" thickBot="1" x14ac:dyDescent="0.4">
      <c r="A10" s="16" t="s">
        <v>12</v>
      </c>
      <c r="B10" s="2">
        <v>1.4999999999999999E-2</v>
      </c>
      <c r="C10" s="2">
        <v>1.0200000000000001E-2</v>
      </c>
      <c r="D10" s="2">
        <v>6.7000000000000002E-3</v>
      </c>
      <c r="E10" s="2">
        <v>5.7000000000000002E-3</v>
      </c>
      <c r="F10" s="2">
        <v>4.7000000000000002E-3</v>
      </c>
    </row>
    <row r="11" spans="1:6" ht="15" thickBot="1" x14ac:dyDescent="0.4">
      <c r="A11" s="16" t="s">
        <v>13</v>
      </c>
      <c r="B11" s="2">
        <v>0.13739999999999999</v>
      </c>
      <c r="C11" s="2">
        <v>0.13830000000000001</v>
      </c>
      <c r="D11" s="2">
        <v>0.14680000000000001</v>
      </c>
      <c r="E11" s="2">
        <v>0.14280000000000001</v>
      </c>
      <c r="F11" s="2">
        <v>0.14249999999999999</v>
      </c>
    </row>
    <row r="12" spans="1:6" ht="15" thickBot="1" x14ac:dyDescent="0.4">
      <c r="A12" s="16" t="s">
        <v>14</v>
      </c>
      <c r="B12" s="2">
        <v>0.46129999999999999</v>
      </c>
      <c r="C12" s="2">
        <v>0.45279999999999998</v>
      </c>
      <c r="D12" s="2">
        <v>0.438</v>
      </c>
      <c r="E12" s="2">
        <v>0.41110000000000002</v>
      </c>
      <c r="F12" s="2">
        <v>0.34389999999999998</v>
      </c>
    </row>
    <row r="13" spans="1:6" ht="15" thickBot="1" x14ac:dyDescent="0.4">
      <c r="A13" s="16" t="s">
        <v>15</v>
      </c>
      <c r="B13" s="2">
        <v>0.87749999999999995</v>
      </c>
      <c r="C13" s="2">
        <v>0.90200000000000002</v>
      </c>
      <c r="D13" s="2">
        <v>0.91910000000000003</v>
      </c>
      <c r="E13" s="2">
        <v>0.75019999999999998</v>
      </c>
      <c r="F13" s="2">
        <v>0.76500000000000001</v>
      </c>
    </row>
    <row r="15" spans="1:6" x14ac:dyDescent="0.35">
      <c r="A15" s="35" t="s">
        <v>18</v>
      </c>
      <c r="B15" s="35"/>
      <c r="C15" s="35"/>
      <c r="D15" s="35"/>
      <c r="E15" s="35"/>
      <c r="F15" s="35"/>
    </row>
  </sheetData>
  <mergeCells count="3">
    <mergeCell ref="A1:F1"/>
    <mergeCell ref="A2:F2"/>
    <mergeCell ref="A15:F15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80F3-7AA5-4FE6-A624-E633ED5DF368}">
  <dimension ref="A1:I31"/>
  <sheetViews>
    <sheetView tabSelected="1" zoomScale="81" workbookViewId="0">
      <selection activeCell="O9" sqref="O9"/>
    </sheetView>
  </sheetViews>
  <sheetFormatPr defaultRowHeight="14.5" x14ac:dyDescent="0.35"/>
  <cols>
    <col min="1" max="1" width="5.36328125" bestFit="1" customWidth="1"/>
    <col min="2" max="2" width="9.81640625" bestFit="1" customWidth="1"/>
    <col min="3" max="3" width="15.7265625" bestFit="1" customWidth="1"/>
    <col min="4" max="4" width="11.81640625" bestFit="1" customWidth="1"/>
    <col min="5" max="5" width="11" bestFit="1" customWidth="1"/>
    <col min="6" max="6" width="21.26953125" bestFit="1" customWidth="1"/>
    <col min="7" max="7" width="7.36328125" bestFit="1" customWidth="1"/>
    <col min="8" max="8" width="13.26953125" bestFit="1" customWidth="1"/>
    <col min="9" max="9" width="7.26953125" bestFit="1" customWidth="1"/>
  </cols>
  <sheetData>
    <row r="1" spans="1:9" x14ac:dyDescent="0.35">
      <c r="A1" s="8" t="s">
        <v>40</v>
      </c>
      <c r="B1" s="8" t="s">
        <v>41</v>
      </c>
      <c r="C1" s="8" t="s">
        <v>42</v>
      </c>
      <c r="D1" s="8" t="s">
        <v>43</v>
      </c>
      <c r="E1" s="8" t="s">
        <v>12</v>
      </c>
      <c r="F1" s="8" t="s">
        <v>44</v>
      </c>
      <c r="G1" s="8" t="s">
        <v>26</v>
      </c>
      <c r="H1" s="8" t="s">
        <v>14</v>
      </c>
      <c r="I1" s="8" t="s">
        <v>15</v>
      </c>
    </row>
    <row r="2" spans="1:9" x14ac:dyDescent="0.35">
      <c r="A2" s="9" t="s">
        <v>45</v>
      </c>
      <c r="B2" s="9" t="s">
        <v>19</v>
      </c>
      <c r="C2" s="9">
        <f>'SBI FY 2021 - 2025'!$B8/'SBI FY 2021 - 2025'!$B9</f>
        <v>1.6437144263909405</v>
      </c>
      <c r="D2" s="9">
        <f>('SBI FY 2021 - 2025'!B$5/'SBI FY 2021 - 2025'!B$4)*100</f>
        <v>0.45011170091940994</v>
      </c>
      <c r="E2" s="10">
        <f>'SBI FY 2021 - 2025'!B10</f>
        <v>1.4999999999999999E-2</v>
      </c>
      <c r="F2" s="9">
        <f>('SBI FY 2021 - 2025'!B$7/'SBI FY 2021 - 2025'!B$6)*100</f>
        <v>66.539355772467005</v>
      </c>
      <c r="G2" s="10">
        <f>'SBI FY 2021 - 2025'!B$11</f>
        <v>0.13739999999999999</v>
      </c>
      <c r="H2" s="10">
        <f>'SBI FY 2021 - 2025'!B12</f>
        <v>0.46129999999999999</v>
      </c>
      <c r="I2" s="10">
        <f>'SBI FY 2021 - 2025'!B13</f>
        <v>0.87749999999999995</v>
      </c>
    </row>
    <row r="3" spans="1:9" x14ac:dyDescent="0.35">
      <c r="A3" s="9" t="s">
        <v>45</v>
      </c>
      <c r="B3" s="9" t="s">
        <v>20</v>
      </c>
      <c r="C3" s="9">
        <f>'SBI FY 2021 - 2025'!$C8/'SBI FY 2021 - 2025'!$C9</f>
        <v>1.5211040815743624</v>
      </c>
      <c r="D3" s="9">
        <f>('SBI FY 2021 - 2025'!C$5/'SBI FY 2021 - 2025'!C$4)*100</f>
        <v>0.6350954176931296</v>
      </c>
      <c r="E3" s="10">
        <f>'SBI FY 2021 - 2025'!C10</f>
        <v>1.0200000000000001E-2</v>
      </c>
      <c r="F3" s="9">
        <f>('SBI FY 2021 - 2025'!C$7/'SBI FY 2021 - 2025'!C$6)*100</f>
        <v>67.479799009461601</v>
      </c>
      <c r="G3" s="10">
        <f>'SBI FY 2021 - 2025'!C$11</f>
        <v>0.13830000000000001</v>
      </c>
      <c r="H3" s="10">
        <f>'SBI FY 2021 - 2025'!C12</f>
        <v>0.45279999999999998</v>
      </c>
      <c r="I3" s="10">
        <f>'SBI FY 2021 - 2025'!C13</f>
        <v>0.90200000000000002</v>
      </c>
    </row>
    <row r="4" spans="1:9" x14ac:dyDescent="0.35">
      <c r="A4" s="9" t="s">
        <v>45</v>
      </c>
      <c r="B4" s="9" t="s">
        <v>21</v>
      </c>
      <c r="C4" s="9">
        <f>'SBI FY 2021 - 2025'!$D8/'SBI FY 2021 - 2025'!$D9</f>
        <v>1.50525933432639</v>
      </c>
      <c r="D4" s="9">
        <f>('SBI FY 2021 - 2025'!D$5/'SBI FY 2021 - 2025'!D$4)*100</f>
        <v>0.91049829988477382</v>
      </c>
      <c r="E4" s="10">
        <f>'SBI FY 2021 - 2025'!D10</f>
        <v>6.7000000000000002E-3</v>
      </c>
      <c r="F4" s="9">
        <f>('SBI FY 2021 - 2025'!D$7/'SBI FY 2021 - 2025'!D$6)*100</f>
        <v>72.319836121975385</v>
      </c>
      <c r="G4" s="10">
        <f>'SBI FY 2021 - 2025'!D$11</f>
        <v>0.14680000000000001</v>
      </c>
      <c r="H4" s="10">
        <f>'SBI FY 2021 - 2025'!D12</f>
        <v>0.438</v>
      </c>
      <c r="I4" s="10">
        <f>'SBI FY 2021 - 2025'!D13</f>
        <v>0.91910000000000003</v>
      </c>
    </row>
    <row r="5" spans="1:9" x14ac:dyDescent="0.35">
      <c r="A5" s="9" t="s">
        <v>45</v>
      </c>
      <c r="B5" s="9" t="s">
        <v>28</v>
      </c>
      <c r="C5" s="9">
        <f>'SBI FY 2021 - 2025'!$E8/'SBI FY 2021 - 2025'!$E9</f>
        <v>1.584008843036109</v>
      </c>
      <c r="D5" s="9">
        <f>('SBI FY 2021 - 2025'!E$5/'SBI FY 2021 - 2025'!E$4)*100</f>
        <v>0.98834990858770677</v>
      </c>
      <c r="E5" s="10">
        <f>'SBI FY 2021 - 2025'!E10</f>
        <v>5.7000000000000002E-3</v>
      </c>
      <c r="F5" s="9">
        <f>('SBI FY 2021 - 2025'!E$7/'SBI FY 2021 - 2025'!E$6)*100</f>
        <v>75.344039566508016</v>
      </c>
      <c r="G5" s="10">
        <f>'SBI FY 2021 - 2025'!E$11</f>
        <v>0.14280000000000001</v>
      </c>
      <c r="H5" s="10">
        <f>'SBI FY 2021 - 2025'!E12</f>
        <v>0.41110000000000002</v>
      </c>
      <c r="I5" s="10">
        <f>'SBI FY 2021 - 2025'!E13</f>
        <v>0.75019999999999998</v>
      </c>
    </row>
    <row r="6" spans="1:9" x14ac:dyDescent="0.35">
      <c r="A6" s="9" t="s">
        <v>45</v>
      </c>
      <c r="B6" s="9" t="s">
        <v>29</v>
      </c>
      <c r="C6" s="9">
        <f>'SBI FY 2021 - 2025'!$F8/'SBI FY 2021 - 2025'!$F9</f>
        <v>1.2774740344816644</v>
      </c>
      <c r="D6" s="9">
        <f>('SBI FY 2021 - 2025'!F$5/'SBI FY 2021 - 2025'!F$4)*100</f>
        <v>1.062019729322101</v>
      </c>
      <c r="E6" s="10">
        <f>'SBI FY 2021 - 2025'!F10</f>
        <v>4.7000000000000002E-3</v>
      </c>
      <c r="F6" s="9">
        <f>('SBI FY 2021 - 2025'!F$7/'SBI FY 2021 - 2025'!F$6)*100</f>
        <v>77.353493652212208</v>
      </c>
      <c r="G6" s="10">
        <f>'SBI FY 2021 - 2025'!F$11</f>
        <v>0.14249999999999999</v>
      </c>
      <c r="H6" s="10">
        <f>'SBI FY 2021 - 2025'!F12</f>
        <v>0.34389999999999998</v>
      </c>
      <c r="I6" s="10">
        <f>'SBI FY 2021 - 2025'!F13</f>
        <v>0.76500000000000001</v>
      </c>
    </row>
    <row r="7" spans="1:9" x14ac:dyDescent="0.35">
      <c r="A7" s="11" t="s">
        <v>46</v>
      </c>
      <c r="B7" s="11" t="s">
        <v>19</v>
      </c>
      <c r="C7" s="11">
        <f>'HDFC FY 2021 - 2025'!$B8/'HDFC FY 2021 - 2025'!$B9</f>
        <v>0.66501893395571188</v>
      </c>
      <c r="D7" s="11">
        <f>('HDFC FY 2021 - 2025'!B$5/'HDFC FY 2021 - 2025'!B$4)*100</f>
        <v>1.7812706261652977</v>
      </c>
      <c r="E7" s="26">
        <f>'HDFC FY 2021 - 2025'!B10</f>
        <v>4.0000000000000001E-3</v>
      </c>
      <c r="F7" s="11">
        <f>('HDFC FY 2021 - 2025'!B$7/'HDFC FY 2021 - 2025'!B$6)*100</f>
        <v>84.852890506793699</v>
      </c>
      <c r="G7" s="26">
        <f>'HDFC FY 2021 - 2025'!B$11</f>
        <v>0.188</v>
      </c>
      <c r="H7" s="26">
        <f>'HDFC FY 2021 - 2025'!B$12</f>
        <v>0.46100000000000002</v>
      </c>
      <c r="I7" s="26">
        <f>'HDFC FY 2021 - 2025'!B$13</f>
        <v>0.7</v>
      </c>
    </row>
    <row r="8" spans="1:9" x14ac:dyDescent="0.35">
      <c r="A8" s="11" t="s">
        <v>46</v>
      </c>
      <c r="B8" s="11" t="s">
        <v>20</v>
      </c>
      <c r="C8" s="11">
        <f>'HDFC FY 2021 - 2025'!$C8/'HDFC FY 2021 - 2025'!$C9</f>
        <v>0.78503520305481878</v>
      </c>
      <c r="D8" s="11">
        <f>('HDFC FY 2021 - 2025'!C$5/'HDFC FY 2021 - 2025'!C$4)*100</f>
        <v>1.7868346438421396</v>
      </c>
      <c r="E8" s="26">
        <f>'HDFC FY 2021 - 2025'!C10</f>
        <v>3.2000000000000002E-3</v>
      </c>
      <c r="F8" s="11">
        <f>('HDFC FY 2021 - 2025'!C$7/'HDFC FY 2021 - 2025'!C$6)*100</f>
        <v>87.788999222045433</v>
      </c>
      <c r="G8" s="26">
        <f>'HDFC FY 2021 - 2025'!C$11</f>
        <v>0.189</v>
      </c>
      <c r="H8" s="26">
        <f>'HDFC FY 2021 - 2025'!C$12</f>
        <v>0.48199999999999998</v>
      </c>
      <c r="I8" s="26">
        <f>'HDFC FY 2021 - 2025'!C$13</f>
        <v>0.73</v>
      </c>
    </row>
    <row r="9" spans="1:9" x14ac:dyDescent="0.35">
      <c r="A9" s="11" t="s">
        <v>46</v>
      </c>
      <c r="B9" s="11" t="s">
        <v>21</v>
      </c>
      <c r="C9" s="11">
        <f>'HDFC FY 2021 - 2025'!$D8/'HDFC FY 2021 - 2025'!$D9</f>
        <v>0.73792385485892009</v>
      </c>
      <c r="D9" s="11">
        <f>('HDFC FY 2021 - 2025'!D$5/'HDFC FY 2021 - 2025'!D$4)*100</f>
        <v>1.7886152158019137</v>
      </c>
      <c r="E9" s="26">
        <f>'HDFC FY 2021 - 2025'!D10</f>
        <v>2.7000000000000001E-3</v>
      </c>
      <c r="F9" s="11">
        <f>('HDFC FY 2021 - 2025'!D$7/'HDFC FY 2021 - 2025'!D$6)*100</f>
        <v>84.984084591920436</v>
      </c>
      <c r="G9" s="26">
        <f>'HDFC FY 2021 - 2025'!D$11</f>
        <v>0.193</v>
      </c>
      <c r="H9" s="26">
        <f>'HDFC FY 2021 - 2025'!D$12</f>
        <v>0.44400000000000001</v>
      </c>
      <c r="I9" s="26">
        <f>'HDFC FY 2021 - 2025'!D$13</f>
        <v>0.76</v>
      </c>
    </row>
    <row r="10" spans="1:9" x14ac:dyDescent="0.35">
      <c r="A10" s="11" t="s">
        <v>46</v>
      </c>
      <c r="B10" s="11" t="s">
        <v>28</v>
      </c>
      <c r="C10" s="11">
        <f>'HDFC FY 2021 - 2025'!$E8/'HDFC FY 2021 - 2025'!$E9</f>
        <v>1.5217622576712908</v>
      </c>
      <c r="D10" s="11">
        <f>('HDFC FY 2021 - 2025'!E$5/'HDFC FY 2021 - 2025'!E$4)*100</f>
        <v>1.6810015858479448</v>
      </c>
      <c r="E10" s="26">
        <f>'HDFC FY 2021 - 2025'!E10</f>
        <v>3.3E-3</v>
      </c>
      <c r="F10" s="11">
        <f>('HDFC FY 2021 - 2025'!E$7/'HDFC FY 2021 - 2025'!E$6)*100</f>
        <v>104.4153549941045</v>
      </c>
      <c r="G10" s="26">
        <f>'HDFC FY 2021 - 2025'!E$11</f>
        <v>0.188</v>
      </c>
      <c r="H10" s="26">
        <f>'HDFC FY 2021 - 2025'!E$12</f>
        <v>0.38200000000000001</v>
      </c>
      <c r="I10" s="26">
        <f>'HDFC FY 2021 - 2025'!E$13</f>
        <v>0.74</v>
      </c>
    </row>
    <row r="11" spans="1:9" x14ac:dyDescent="0.35">
      <c r="A11" s="11" t="s">
        <v>46</v>
      </c>
      <c r="B11" s="11" t="s">
        <v>29</v>
      </c>
      <c r="C11" s="11">
        <f>'HDFC FY 2021 - 2025'!$F8/'HDFC FY 2021 - 2025'!$F9</f>
        <v>1.3228936115220515</v>
      </c>
      <c r="D11" s="11">
        <f>('HDFC FY 2021 - 2025'!F$5/'HDFC FY 2021 - 2025'!F$4)*100</f>
        <v>1.7223522383387646</v>
      </c>
      <c r="E11" s="28">
        <f>'HDFC FY 2021 - 2025'!F10</f>
        <v>4.0000000000000001E-3</v>
      </c>
      <c r="F11" s="11">
        <f>('HDFC FY 2021 - 2025'!F$7/'HDFC FY 2021 - 2025'!F$6)*100</f>
        <v>96.496648819489337</v>
      </c>
      <c r="G11" s="26">
        <f>'HDFC FY 2021 - 2025'!F$11</f>
        <v>0.19600000000000001</v>
      </c>
      <c r="H11" s="26">
        <f>'HDFC FY 2021 - 2025'!F$12</f>
        <v>0.35299999999999998</v>
      </c>
      <c r="I11" s="26">
        <f>'HDFC FY 2021 - 2025'!F$13</f>
        <v>0.67859999999999998</v>
      </c>
    </row>
    <row r="12" spans="1:9" x14ac:dyDescent="0.35">
      <c r="A12" s="12" t="s">
        <v>47</v>
      </c>
      <c r="B12" s="12" t="s">
        <v>19</v>
      </c>
      <c r="C12" s="12">
        <f>'ICICI FY 2021 - 2025'!$B8/'ICICI FY 2021 - 2025'!$B9</f>
        <v>0.6211934267971907</v>
      </c>
      <c r="D12" s="12">
        <f>('ICICI FY 2021 - 2025'!B$5/'ICICI FY 2021 - 2025'!B$4)*100</f>
        <v>1.3160407758894634</v>
      </c>
      <c r="E12" s="29">
        <f>'ICICI FY 2021 - 2025'!B10</f>
        <v>1.14E-2</v>
      </c>
      <c r="F12" s="12">
        <f>('ICICI FY 2021 - 2025'!B$7/'ICICI FY 2021 - 2025'!B$6)*100</f>
        <v>78.682218757305449</v>
      </c>
      <c r="G12" s="29">
        <f>'ICICI FY 2021 - 2025'!B$11</f>
        <v>0.19120000000000001</v>
      </c>
      <c r="H12" s="29">
        <f>'ICICI FY 2021 - 2025'!B$12</f>
        <v>0.46300000000000002</v>
      </c>
      <c r="I12" s="29">
        <f>'ICICI FY 2021 - 2025'!B$13</f>
        <v>0.77700000000000002</v>
      </c>
    </row>
    <row r="13" spans="1:9" x14ac:dyDescent="0.35">
      <c r="A13" s="12" t="s">
        <v>47</v>
      </c>
      <c r="B13" s="12" t="s">
        <v>20</v>
      </c>
      <c r="C13" s="12">
        <f>'ICICI FY 2021 - 2025'!$C8/'ICICI FY 2021 - 2025'!$C9</f>
        <v>0.62836432250616758</v>
      </c>
      <c r="D13" s="12">
        <f>('ICICI FY 2021 - 2025'!C$5/'ICICI FY 2021 - 2025'!C$4)*100</f>
        <v>1.6537258608741741</v>
      </c>
      <c r="E13" s="29">
        <f>'ICICI FY 2021 - 2025'!C10</f>
        <v>7.6E-3</v>
      </c>
      <c r="F13" s="12">
        <f>('ICICI FY 2021 - 2025'!C$7/'ICICI FY 2021 - 2025'!C$6)*100</f>
        <v>80.691583096305379</v>
      </c>
      <c r="G13" s="29">
        <f>'ICICI FY 2021 - 2025'!C$11</f>
        <v>0.19159999999999999</v>
      </c>
      <c r="H13" s="29">
        <f>'ICICI FY 2021 - 2025'!C$12</f>
        <v>0.48699999999999999</v>
      </c>
      <c r="I13" s="29">
        <f>'ICICI FY 2021 - 2025'!C$13</f>
        <v>0.79200000000000004</v>
      </c>
    </row>
    <row r="14" spans="1:9" x14ac:dyDescent="0.35">
      <c r="A14" s="12" t="s">
        <v>47</v>
      </c>
      <c r="B14" s="12" t="s">
        <v>21</v>
      </c>
      <c r="C14" s="12">
        <f>'ICICI FY 2021 - 2025'!$D8/'ICICI FY 2021 - 2025'!$D9</f>
        <v>0.59449966370226437</v>
      </c>
      <c r="D14" s="12">
        <f>('ICICI FY 2021 - 2025'!D$5/'ICICI FY 2021 - 2025'!D$4)*100</f>
        <v>2.0133732523590671</v>
      </c>
      <c r="E14" s="29">
        <f>'ICICI FY 2021 - 2025'!D10</f>
        <v>4.7999999999999996E-3</v>
      </c>
      <c r="F14" s="12">
        <f>('ICICI FY 2021 - 2025'!D$7/'ICICI FY 2021 - 2025'!D$6)*100</f>
        <v>86.348458429204271</v>
      </c>
      <c r="G14" s="29">
        <f>'ICICI FY 2021 - 2025'!D$11</f>
        <v>0.18340000000000001</v>
      </c>
      <c r="H14" s="29">
        <f>'ICICI FY 2021 - 2025'!D$12</f>
        <v>0.45800000000000002</v>
      </c>
      <c r="I14" s="29">
        <f>'ICICI FY 2021 - 2025'!D$13</f>
        <v>0.82799999999999996</v>
      </c>
    </row>
    <row r="15" spans="1:9" x14ac:dyDescent="0.35">
      <c r="A15" s="12" t="s">
        <v>47</v>
      </c>
      <c r="B15" s="12" t="s">
        <v>28</v>
      </c>
      <c r="C15" s="12">
        <f>'ICICI FY 2021 - 2025'!$E8/'ICICI FY 2021 - 2025'!$E9</f>
        <v>0.55353272648461205</v>
      </c>
      <c r="D15" s="12">
        <f>('ICICI FY 2021 - 2025'!E$5/'ICICI FY 2021 - 2025'!E$4)*100</f>
        <v>2.1848976590687572</v>
      </c>
      <c r="E15" s="29">
        <f>'ICICI FY 2021 - 2025'!E10</f>
        <v>4.1999999999999997E-3</v>
      </c>
      <c r="F15" s="12">
        <f>('ICICI FY 2021 - 2025'!E$7/'ICICI FY 2021 - 2025'!E$6)*100</f>
        <v>83.832463327022097</v>
      </c>
      <c r="G15" s="29">
        <f>'ICICI FY 2021 - 2025'!E$11</f>
        <v>0.1633</v>
      </c>
      <c r="H15" s="29">
        <f>'ICICI FY 2021 - 2025'!E$12</f>
        <v>0.42199999999999999</v>
      </c>
      <c r="I15" s="29">
        <f>'ICICI FY 2021 - 2025'!E$13</f>
        <v>0.80300000000000005</v>
      </c>
    </row>
    <row r="16" spans="1:9" x14ac:dyDescent="0.35">
      <c r="A16" s="12" t="s">
        <v>47</v>
      </c>
      <c r="B16" s="12" t="s">
        <v>29</v>
      </c>
      <c r="C16" s="12">
        <f>'ICICI FY 2021 - 2025'!$F8/'ICICI FY 2021 - 2025'!$F9</f>
        <v>0.53296910324039182</v>
      </c>
      <c r="D16" s="12">
        <f>('ICICI FY 2021 - 2025'!F$5/'ICICI FY 2021 - 2025'!F$4)*100</f>
        <v>2.2295396177959059</v>
      </c>
      <c r="E16" s="29">
        <f>'ICICI FY 2021 - 2025'!F10</f>
        <v>4.0000000000000001E-3</v>
      </c>
      <c r="F16" s="12">
        <f>('ICICI FY 2021 - 2025'!F$7/'ICICI FY 2021 - 2025'!F$6)*100</f>
        <v>83.321493242454423</v>
      </c>
      <c r="G16" s="29">
        <f>'ICICI FY 2021 - 2025'!F$11</f>
        <v>0.16600000000000001</v>
      </c>
      <c r="H16" s="29">
        <f>'ICICI FY 2021 - 2025'!F$12</f>
        <v>0.41799999999999998</v>
      </c>
      <c r="I16" s="29">
        <f>'ICICI FY 2021 - 2025'!F$13</f>
        <v>0.81</v>
      </c>
    </row>
    <row r="17" spans="1:9" x14ac:dyDescent="0.35">
      <c r="A17" s="13" t="s">
        <v>48</v>
      </c>
      <c r="B17" s="13" t="s">
        <v>19</v>
      </c>
      <c r="C17" s="13">
        <f>'AXIS FY 2021 - 2025'!$B8/'AXIS FY 2021 - 2025'!$B9</f>
        <v>1.4061887936379831</v>
      </c>
      <c r="D17" s="13">
        <f>('AXIS FY 2021 - 2025'!B$5/'AXIS FY 2021 - 2025'!B$4)*100</f>
        <v>0.66136742835688145</v>
      </c>
      <c r="E17" s="30">
        <f>'AXIS FY 2021 - 2025'!B10</f>
        <v>1.0500000000000001E-2</v>
      </c>
      <c r="F17" s="13">
        <f>('AXIS FY 2021 - 2025'!B$7/'AXIS FY 2021 - 2025'!B$6)*100</f>
        <v>88.18248396026614</v>
      </c>
      <c r="G17" s="30">
        <f>'AXIS FY 2021 - 2025'!B$11</f>
        <v>0.19120000000000001</v>
      </c>
      <c r="H17" s="30">
        <f>'AXIS FY 2021 - 2025'!B$12</f>
        <v>0.45</v>
      </c>
      <c r="I17" s="30">
        <f>'AXIS FY 2021 - 2025'!B$13</f>
        <v>0.72</v>
      </c>
    </row>
    <row r="18" spans="1:9" x14ac:dyDescent="0.35">
      <c r="A18" s="13" t="s">
        <v>48</v>
      </c>
      <c r="B18" s="13" t="s">
        <v>20</v>
      </c>
      <c r="C18" s="13">
        <f>'AXIS FY 2021 - 2025'!$C8/'AXIS FY 2021 - 2025'!$C9</f>
        <v>1.6076241750607849</v>
      </c>
      <c r="D18" s="13">
        <f>('AXIS FY 2021 - 2025'!C$5/'AXIS FY 2021 - 2025'!C$4)*100</f>
        <v>1.1083427361642237</v>
      </c>
      <c r="E18" s="30">
        <f>'AXIS FY 2021 - 2025'!C10</f>
        <v>7.3000000000000001E-3</v>
      </c>
      <c r="F18" s="13">
        <f>('AXIS FY 2021 - 2025'!C$7/'AXIS FY 2021 - 2025'!C$6)*100</f>
        <v>86.123635637886835</v>
      </c>
      <c r="G18" s="30">
        <f>'AXIS FY 2021 - 2025'!C$11</f>
        <v>0.18540000000000001</v>
      </c>
      <c r="H18" s="30">
        <f>'AXIS FY 2021 - 2025'!C$12</f>
        <v>0.45</v>
      </c>
      <c r="I18" s="30">
        <f>'AXIS FY 2021 - 2025'!C$13</f>
        <v>0.75</v>
      </c>
    </row>
    <row r="19" spans="1:9" x14ac:dyDescent="0.35">
      <c r="A19" s="13" t="s">
        <v>48</v>
      </c>
      <c r="B19" s="13" t="s">
        <v>21</v>
      </c>
      <c r="C19" s="13">
        <f>'AXIS FY 2021 - 2025'!$D8/'AXIS FY 2021 - 2025'!$D9</f>
        <v>1.4854445569579882</v>
      </c>
      <c r="D19" s="13">
        <f>('AXIS FY 2021 - 2025'!D$5/'AXIS FY 2021 - 2025'!D$4)*100</f>
        <v>0.72723076899719585</v>
      </c>
      <c r="E19" s="30">
        <f>'AXIS FY 2021 - 2025'!D10</f>
        <v>3.8999999999999998E-3</v>
      </c>
      <c r="F19" s="13">
        <f>('AXIS FY 2021 - 2025'!D$7/'AXIS FY 2021 - 2025'!D$6)*100</f>
        <v>89.266324865752495</v>
      </c>
      <c r="G19" s="30">
        <f>'AXIS FY 2021 - 2025'!D$11</f>
        <v>0.1764</v>
      </c>
      <c r="H19" s="30">
        <f>'AXIS FY 2021 - 2025'!D$12</f>
        <v>0.47</v>
      </c>
      <c r="I19" s="30">
        <f>'AXIS FY 2021 - 2025'!D$13</f>
        <v>0.81</v>
      </c>
    </row>
    <row r="20" spans="1:9" x14ac:dyDescent="0.35">
      <c r="A20" s="13" t="s">
        <v>48</v>
      </c>
      <c r="B20" s="13" t="s">
        <v>28</v>
      </c>
      <c r="C20" s="13">
        <f>'AXIS FY 2021 - 2025'!$E8/'AXIS FY 2021 - 2025'!$E9</f>
        <v>1.2797619047619047</v>
      </c>
      <c r="D20" s="13">
        <f>('AXIS FY 2021 - 2025'!E$5/'AXIS FY 2021 - 2025'!E$4)*100</f>
        <v>1.6829710623209038</v>
      </c>
      <c r="E20" s="30">
        <f>'AXIS FY 2021 - 2025'!E10</f>
        <v>3.0999999999999999E-3</v>
      </c>
      <c r="F20" s="13">
        <f>('AXIS FY 2021 - 2025'!E$7/'AXIS FY 2021 - 2025'!E$6)*100</f>
        <v>90.311097469221522</v>
      </c>
      <c r="G20" s="30">
        <f>'AXIS FY 2021 - 2025'!E$11</f>
        <v>0.1663</v>
      </c>
      <c r="H20" s="30">
        <f>'AXIS FY 2021 - 2025'!E$12</f>
        <v>0.43</v>
      </c>
      <c r="I20" s="30">
        <f>'AXIS FY 2021 - 2025'!E$13</f>
        <v>0.79</v>
      </c>
    </row>
    <row r="21" spans="1:9" x14ac:dyDescent="0.35">
      <c r="A21" s="13" t="s">
        <v>48</v>
      </c>
      <c r="B21" s="13" t="s">
        <v>29</v>
      </c>
      <c r="C21" s="13">
        <f>'AXIS FY 2021 - 2025'!$F8/'AXIS FY 2021 - 2025'!$F9</f>
        <v>1.1802739726027398</v>
      </c>
      <c r="D21" s="13">
        <f>('AXIS FY 2021 - 2025'!F$5/'AXIS FY 2021 - 2025'!F$4)*100</f>
        <v>1.7190103020766809</v>
      </c>
      <c r="E21" s="30">
        <f>'AXIS FY 2021 - 2025'!F10</f>
        <v>3.0000000000000001E-3</v>
      </c>
      <c r="F21" s="13">
        <f>('AXIS FY 2021 - 2025'!F$7/'AXIS FY 2021 - 2025'!F$6)*100</f>
        <v>89.825379462325245</v>
      </c>
      <c r="G21" s="30">
        <f>'AXIS FY 2021 - 2025'!F$11</f>
        <v>0.16550000000000001</v>
      </c>
      <c r="H21" s="30">
        <f>'AXIS FY 2021 - 2025'!F$12</f>
        <v>0.40500000000000003</v>
      </c>
      <c r="I21" s="30">
        <f>'AXIS FY 2021 - 2025'!F$13</f>
        <v>0.78500000000000003</v>
      </c>
    </row>
    <row r="22" spans="1:9" x14ac:dyDescent="0.35">
      <c r="A22" s="14" t="s">
        <v>49</v>
      </c>
      <c r="B22" s="14" t="s">
        <v>19</v>
      </c>
      <c r="C22" s="14">
        <f>'PNB FY 2021 - 2025'!$B8/'PNB FY 2021 - 2025'!$B9</f>
        <v>0.48980624161516639</v>
      </c>
      <c r="D22" s="14">
        <f>('PNB FY 2021 - 2025'!B$5/'PNB FY 2021 - 2025'!B$4)*100</f>
        <v>0.16039561077649087</v>
      </c>
      <c r="E22" s="31">
        <f>'PNB FY 2021 - 2025'!B10</f>
        <v>5.7299999999999997E-2</v>
      </c>
      <c r="F22" s="14">
        <f>('PNB FY 2021 - 2025'!B$7/'PNB FY 2021 - 2025'!B$6)*100</f>
        <v>66.834096817230275</v>
      </c>
      <c r="G22" s="31">
        <f>'PNB FY 2021 - 2025'!B$11</f>
        <v>0.14319999999999999</v>
      </c>
      <c r="H22" s="31">
        <f>'PNB FY 2021 - 2025'!B$12</f>
        <v>0.45500000000000002</v>
      </c>
      <c r="I22" s="31">
        <f>'PNB FY 2021 - 2025'!B$13</f>
        <v>0.8014</v>
      </c>
    </row>
    <row r="23" spans="1:9" x14ac:dyDescent="0.35">
      <c r="A23" s="14" t="s">
        <v>49</v>
      </c>
      <c r="B23" s="14" t="s">
        <v>20</v>
      </c>
      <c r="C23" s="14">
        <f>'PNB FY 2021 - 2025'!$C8/'PNB FY 2021 - 2025'!$C9</f>
        <v>0.45503576403070572</v>
      </c>
      <c r="D23" s="14">
        <f>('PNB FY 2021 - 2025'!C$5/'PNB FY 2021 - 2025'!C$4)*100</f>
        <v>0.26292872327075117</v>
      </c>
      <c r="E23" s="31">
        <f>'PNB FY 2021 - 2025'!C10</f>
        <v>4.8000000000000001E-2</v>
      </c>
      <c r="F23" s="14">
        <f>('PNB FY 2021 - 2025'!C$7/'PNB FY 2021 - 2025'!C$6)*100</f>
        <v>68.495113063035944</v>
      </c>
      <c r="G23" s="31">
        <f>'PNB FY 2021 - 2025'!C$11</f>
        <v>0.14499999999999999</v>
      </c>
      <c r="H23" s="31">
        <f>'PNB FY 2021 - 2025'!C$12</f>
        <v>0.47399999999999998</v>
      </c>
      <c r="I23" s="31">
        <f>'PNB FY 2021 - 2025'!C$13</f>
        <v>0.81599999999999995</v>
      </c>
    </row>
    <row r="24" spans="1:9" x14ac:dyDescent="0.35">
      <c r="A24" s="14" t="s">
        <v>49</v>
      </c>
      <c r="B24" s="14" t="s">
        <v>21</v>
      </c>
      <c r="C24" s="14">
        <f>'PNB FY 2021 - 2025'!$D8/'PNB FY 2021 - 2025'!$D9</f>
        <v>0.54751389514796456</v>
      </c>
      <c r="D24" s="14">
        <f>('PNB FY 2021 - 2025'!D$5/'PNB FY 2021 - 2025'!D$4)*100</f>
        <v>0.17149725241837119</v>
      </c>
      <c r="E24" s="31">
        <f>'PNB FY 2021 - 2025'!D10</f>
        <v>2.7199999999999998E-2</v>
      </c>
      <c r="F24" s="14">
        <f>('PNB FY 2021 - 2025'!D$7/'PNB FY 2021 - 2025'!D$6)*100</f>
        <v>69.052962035275769</v>
      </c>
      <c r="G24" s="31">
        <f>'PNB FY 2021 - 2025'!D$11</f>
        <v>0.155</v>
      </c>
      <c r="H24" s="31">
        <f>'PNB FY 2021 - 2025'!D$12</f>
        <v>0.43</v>
      </c>
      <c r="I24" s="31">
        <f>'PNB FY 2021 - 2025'!D$13</f>
        <v>0.86899999999999999</v>
      </c>
    </row>
    <row r="25" spans="1:9" x14ac:dyDescent="0.35">
      <c r="A25" s="14" t="s">
        <v>49</v>
      </c>
      <c r="B25" s="14" t="s">
        <v>28</v>
      </c>
      <c r="C25" s="14">
        <f>'PNB FY 2021 - 2025'!$E8/'PNB FY 2021 - 2025'!$E9</f>
        <v>0.51842668770427136</v>
      </c>
      <c r="D25" s="14">
        <f>('PNB FY 2021 - 2025'!E$5/'PNB FY 2021 - 2025'!E$4)*100</f>
        <v>0.52790467623020354</v>
      </c>
      <c r="E25" s="31">
        <f>'PNB FY 2021 - 2025'!E10</f>
        <v>7.3000000000000001E-3</v>
      </c>
      <c r="F25" s="14">
        <f>('PNB FY 2021 - 2025'!E$7/'PNB FY 2021 - 2025'!E$6)*100</f>
        <v>71.790586787159057</v>
      </c>
      <c r="G25" s="31">
        <f>'PNB FY 2021 - 2025'!E$11</f>
        <v>0.15970000000000001</v>
      </c>
      <c r="H25" s="31">
        <f>'PNB FY 2021 - 2025'!E$12</f>
        <v>0.41439999999999999</v>
      </c>
      <c r="I25" s="31">
        <f>'PNB FY 2021 - 2025'!E$13</f>
        <v>0.95389999999999997</v>
      </c>
    </row>
    <row r="26" spans="1:9" x14ac:dyDescent="0.35">
      <c r="A26" s="14" t="s">
        <v>49</v>
      </c>
      <c r="B26" s="14" t="s">
        <v>29</v>
      </c>
      <c r="C26" s="14">
        <f>'PNB FY 2021 - 2025'!$F8/'PNB FY 2021 - 2025'!$F9</f>
        <v>0.47187958826346743</v>
      </c>
      <c r="D26" s="14">
        <f>('PNB FY 2021 - 2025'!F$5/'PNB FY 2021 - 2025'!F$4)*100</f>
        <v>0.91465544219988104</v>
      </c>
      <c r="E26" s="31">
        <f>'PNB FY 2021 - 2025'!F10</f>
        <v>4.0000000000000001E-3</v>
      </c>
      <c r="F26" s="14">
        <f>('PNB FY 2021 - 2025'!F$7/'PNB FY 2021 - 2025'!F$6)*100</f>
        <v>71.276688775793545</v>
      </c>
      <c r="G26" s="31">
        <f>'PNB FY 2021 - 2025'!F$11</f>
        <v>0.1701</v>
      </c>
      <c r="H26" s="31">
        <f>'PNB FY 2021 - 2025'!F$12</f>
        <v>0.3795</v>
      </c>
      <c r="I26" s="31">
        <f>'PNB FY 2021 - 2025'!F$13</f>
        <v>0.96819999999999995</v>
      </c>
    </row>
    <row r="27" spans="1:9" x14ac:dyDescent="0.35">
      <c r="A27" s="15" t="s">
        <v>50</v>
      </c>
      <c r="B27" s="15" t="s">
        <v>19</v>
      </c>
      <c r="C27" s="15">
        <f>'BOB FY 2021 - 2025'!$B8/'BOB FY 2021 - 2025'!$B9</f>
        <v>1.211210161076987</v>
      </c>
      <c r="D27" s="15">
        <f>('BOB FY 2021 - 2025'!B$5/'BOB FY 2021 - 2025'!B$4)*100</f>
        <v>7.174790161514355E-2</v>
      </c>
      <c r="E27" s="32">
        <f>'BOB FY 2021 - 2025'!B10</f>
        <v>3.09E-2</v>
      </c>
      <c r="F27" s="15">
        <f>('BOB FY 2021 - 2025'!B$7/'BOB FY 2021 - 2025'!B$6)*100</f>
        <v>73.040616779640146</v>
      </c>
      <c r="G27" s="32">
        <f>'BOB FY 2021 - 2025'!B$11</f>
        <v>0.14990000000000001</v>
      </c>
      <c r="H27" s="32">
        <f>'BOB FY 2021 - 2025'!B$12</f>
        <v>0.42870000000000003</v>
      </c>
      <c r="I27" s="32">
        <f>'BOB FY 2021 - 2025'!B$13</f>
        <v>0.81799999999999995</v>
      </c>
    </row>
    <row r="28" spans="1:9" x14ac:dyDescent="0.35">
      <c r="A28" s="15" t="s">
        <v>50</v>
      </c>
      <c r="B28" s="15" t="s">
        <v>20</v>
      </c>
      <c r="C28" s="15">
        <f>'BOB FY 2021 - 2025'!$C8/'BOB FY 2021 - 2025'!$C9</f>
        <v>1.6653170935773465</v>
      </c>
      <c r="D28" s="15">
        <f>('BOB FY 2021 - 2025'!C$5/'BOB FY 2021 - 2025'!C$4)*100</f>
        <v>0.59836688005567429</v>
      </c>
      <c r="E28" s="32">
        <f>'BOB FY 2021 - 2025'!C10</f>
        <v>1.72E-2</v>
      </c>
      <c r="F28" s="15">
        <f>('BOB FY 2021 - 2025'!C$7/'BOB FY 2021 - 2025'!C$6)*100</f>
        <v>74.302181791550666</v>
      </c>
      <c r="G28" s="32">
        <f>'BOB FY 2021 - 2025'!C$11</f>
        <v>0.15679999999999999</v>
      </c>
      <c r="H28" s="32">
        <f>'BOB FY 2021 - 2025'!C$12</f>
        <v>0.44240000000000002</v>
      </c>
      <c r="I28" s="32">
        <f>'BOB FY 2021 - 2025'!C$13</f>
        <v>0.8871</v>
      </c>
    </row>
    <row r="29" spans="1:9" x14ac:dyDescent="0.35">
      <c r="A29" s="15" t="s">
        <v>50</v>
      </c>
      <c r="B29" s="15" t="s">
        <v>21</v>
      </c>
      <c r="C29" s="15">
        <f>'BOB FY 2021 - 2025'!$D8/'BOB FY 2021 - 2025'!$D9</f>
        <v>1.2204688598061446</v>
      </c>
      <c r="D29" s="15">
        <f>('BOB FY 2021 - 2025'!D$5/'BOB FY 2021 - 2025'!D$4)*100</f>
        <v>1.0062694916476314</v>
      </c>
      <c r="E29" s="32">
        <f>'BOB FY 2021 - 2025'!D10</f>
        <v>8.8999999999999999E-3</v>
      </c>
      <c r="F29" s="15">
        <f>('BOB FY 2021 - 2025'!D$7/'BOB FY 2021 - 2025'!D$6)*100</f>
        <v>78.170866080961034</v>
      </c>
      <c r="G29" s="32">
        <f>'BOB FY 2021 - 2025'!D$11</f>
        <v>0.16239999999999999</v>
      </c>
      <c r="H29" s="32">
        <f>'BOB FY 2021 - 2025'!D$12</f>
        <v>0.42249999999999999</v>
      </c>
      <c r="I29" s="32">
        <f>'BOB FY 2021 - 2025'!D$13</f>
        <v>0.92430000000000001</v>
      </c>
    </row>
    <row r="30" spans="1:9" x14ac:dyDescent="0.35">
      <c r="A30" s="15" t="s">
        <v>50</v>
      </c>
      <c r="B30" s="15" t="s">
        <v>28</v>
      </c>
      <c r="C30" s="15">
        <f>'BOB FY 2021 - 2025'!$E8/'BOB FY 2021 - 2025'!$E9</f>
        <v>1.1235919139740951</v>
      </c>
      <c r="D30" s="15">
        <f>('BOB FY 2021 - 2025'!E$5/'BOB FY 2021 - 2025'!E$4)*100</f>
        <v>1.160069307471135</v>
      </c>
      <c r="E30" s="32">
        <f>'BOB FY 2021 - 2025'!E10</f>
        <v>6.7999999999999996E-3</v>
      </c>
      <c r="F30" s="15">
        <f>('BOB FY 2021 - 2025'!E$7/'BOB FY 2021 - 2025'!E$6)*100</f>
        <v>78.600859484949595</v>
      </c>
      <c r="G30" s="32">
        <f>'BOB FY 2021 - 2025'!E$11</f>
        <v>0.16309999999999999</v>
      </c>
      <c r="H30" s="32">
        <f>'BOB FY 2021 - 2025'!E$12</f>
        <v>0.41149999999999998</v>
      </c>
      <c r="I30" s="32">
        <f>'BOB FY 2021 - 2025'!E$13</f>
        <v>0.93300000000000005</v>
      </c>
    </row>
    <row r="31" spans="1:9" x14ac:dyDescent="0.35">
      <c r="A31" s="15" t="s">
        <v>50</v>
      </c>
      <c r="B31" s="15" t="s">
        <v>29</v>
      </c>
      <c r="C31" s="15">
        <f>'BOB FY 2021 - 2025'!$F8/'BOB FY 2021 - 2025'!$F9</f>
        <v>0.97265311708041235</v>
      </c>
      <c r="D31" s="15">
        <f>('BOB FY 2021 - 2025'!F$5/'BOB FY 2021 - 2025'!F$4)*100</f>
        <v>1.2298866550177616</v>
      </c>
      <c r="E31" s="32">
        <f>'BOB FY 2021 - 2025'!F10</f>
        <v>4.4999999999999997E-3</v>
      </c>
      <c r="F31" s="15">
        <f>('BOB FY 2021 - 2025'!F$7/'BOB FY 2021 - 2025'!F$6)*100</f>
        <v>78.968915750570872</v>
      </c>
      <c r="G31" s="32">
        <f>'BOB FY 2021 - 2025'!F$11</f>
        <v>0.1719</v>
      </c>
      <c r="H31" s="32">
        <f>'BOB FY 2021 - 2025'!F$12</f>
        <v>0.37819999999999998</v>
      </c>
      <c r="I31" s="32">
        <f>'BOB FY 2021 - 2025'!F$13</f>
        <v>0.94750000000000001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CACE-E028-4A7B-B021-59863EF9B5A2}">
  <dimension ref="A1:F15"/>
  <sheetViews>
    <sheetView topLeftCell="C1" workbookViewId="0">
      <selection activeCell="E17" sqref="E17"/>
    </sheetView>
  </sheetViews>
  <sheetFormatPr defaultColWidth="20.54296875" defaultRowHeight="14.5" x14ac:dyDescent="0.35"/>
  <sheetData>
    <row r="1" spans="1:6" ht="21" x14ac:dyDescent="0.5">
      <c r="A1" s="33" t="s">
        <v>27</v>
      </c>
      <c r="B1" s="33"/>
      <c r="C1" s="33"/>
      <c r="D1" s="33"/>
      <c r="E1" s="33"/>
      <c r="F1" s="33"/>
    </row>
    <row r="2" spans="1:6" ht="15" thickBot="1" x14ac:dyDescent="0.4">
      <c r="A2" s="34" t="s">
        <v>17</v>
      </c>
      <c r="B2" s="34"/>
      <c r="C2" s="34"/>
      <c r="D2" s="34"/>
      <c r="E2" s="34"/>
      <c r="F2" s="34"/>
    </row>
    <row r="3" spans="1:6" ht="15" thickBot="1" x14ac:dyDescent="0.4">
      <c r="A3" s="17" t="s">
        <v>0</v>
      </c>
      <c r="B3" s="18" t="s">
        <v>19</v>
      </c>
      <c r="C3" s="18" t="s">
        <v>20</v>
      </c>
      <c r="D3" s="18" t="s">
        <v>21</v>
      </c>
      <c r="E3" s="18" t="s">
        <v>22</v>
      </c>
      <c r="F3" s="18" t="s">
        <v>23</v>
      </c>
    </row>
    <row r="4" spans="1:6" ht="15" thickBot="1" x14ac:dyDescent="0.4">
      <c r="A4" s="16" t="s">
        <v>6</v>
      </c>
      <c r="B4" s="1">
        <v>1746871</v>
      </c>
      <c r="C4" s="1">
        <v>2068535</v>
      </c>
      <c r="D4" s="1">
        <v>2466081</v>
      </c>
      <c r="E4" s="1">
        <v>3617623</v>
      </c>
      <c r="F4" s="1">
        <v>3910199</v>
      </c>
    </row>
    <row r="5" spans="1:6" ht="15" thickBot="1" x14ac:dyDescent="0.4">
      <c r="A5" s="16" t="s">
        <v>7</v>
      </c>
      <c r="B5" s="3">
        <v>31116.5</v>
      </c>
      <c r="C5" s="3">
        <v>36961.300000000003</v>
      </c>
      <c r="D5" s="3">
        <v>44108.7</v>
      </c>
      <c r="E5" s="3">
        <v>60812.3</v>
      </c>
      <c r="F5" s="3">
        <v>67347.399999999994</v>
      </c>
    </row>
    <row r="6" spans="1:6" ht="15" thickBot="1" x14ac:dyDescent="0.4">
      <c r="A6" s="16" t="s">
        <v>8</v>
      </c>
      <c r="B6" s="1">
        <v>1335060</v>
      </c>
      <c r="C6" s="1">
        <v>1559217</v>
      </c>
      <c r="D6" s="1">
        <v>1883395</v>
      </c>
      <c r="E6" s="1">
        <v>2379786</v>
      </c>
      <c r="F6" s="1">
        <v>2714715</v>
      </c>
    </row>
    <row r="7" spans="1:6" ht="15" thickBot="1" x14ac:dyDescent="0.4">
      <c r="A7" s="16" t="s">
        <v>24</v>
      </c>
      <c r="B7" s="1">
        <v>1132837</v>
      </c>
      <c r="C7" s="1">
        <v>1368821</v>
      </c>
      <c r="D7" s="1">
        <v>1600586</v>
      </c>
      <c r="E7" s="1">
        <v>2484862</v>
      </c>
      <c r="F7" s="1">
        <v>2619609</v>
      </c>
    </row>
    <row r="8" spans="1:6" ht="15" thickBot="1" x14ac:dyDescent="0.4">
      <c r="A8" s="16" t="s">
        <v>10</v>
      </c>
      <c r="B8" s="3">
        <v>135487.29999999999</v>
      </c>
      <c r="C8" s="3">
        <v>188481.3</v>
      </c>
      <c r="D8" s="3">
        <v>206765.6</v>
      </c>
      <c r="E8" s="3">
        <v>666006.1</v>
      </c>
      <c r="F8" s="3">
        <v>663331.4</v>
      </c>
    </row>
    <row r="9" spans="1:6" ht="15" thickBot="1" x14ac:dyDescent="0.4">
      <c r="A9" s="16" t="s">
        <v>25</v>
      </c>
      <c r="B9" s="3">
        <v>203734.5</v>
      </c>
      <c r="C9" s="3">
        <v>240092.79999999999</v>
      </c>
      <c r="D9" s="3">
        <v>280199.09999999998</v>
      </c>
      <c r="E9" s="3">
        <v>437654.5</v>
      </c>
      <c r="F9" s="3">
        <v>501424.6</v>
      </c>
    </row>
    <row r="10" spans="1:6" ht="15" thickBot="1" x14ac:dyDescent="0.4">
      <c r="A10" s="16" t="s">
        <v>12</v>
      </c>
      <c r="B10" s="2">
        <v>4.0000000000000001E-3</v>
      </c>
      <c r="C10" s="2">
        <v>3.2000000000000002E-3</v>
      </c>
      <c r="D10" s="2">
        <v>2.7000000000000001E-3</v>
      </c>
      <c r="E10" s="2">
        <v>3.3E-3</v>
      </c>
      <c r="F10" s="27">
        <v>4.0000000000000001E-3</v>
      </c>
    </row>
    <row r="11" spans="1:6" ht="15" thickBot="1" x14ac:dyDescent="0.4">
      <c r="A11" s="16" t="s">
        <v>26</v>
      </c>
      <c r="B11" s="2">
        <v>0.188</v>
      </c>
      <c r="C11" s="2">
        <v>0.189</v>
      </c>
      <c r="D11" s="2">
        <v>0.193</v>
      </c>
      <c r="E11" s="2">
        <v>0.188</v>
      </c>
      <c r="F11" s="2">
        <v>0.19600000000000001</v>
      </c>
    </row>
    <row r="12" spans="1:6" ht="15" thickBot="1" x14ac:dyDescent="0.4">
      <c r="A12" s="16" t="s">
        <v>14</v>
      </c>
      <c r="B12" s="2">
        <v>0.46100000000000002</v>
      </c>
      <c r="C12" s="2">
        <v>0.48199999999999998</v>
      </c>
      <c r="D12" s="2">
        <v>0.44400000000000001</v>
      </c>
      <c r="E12" s="2">
        <v>0.38200000000000001</v>
      </c>
      <c r="F12" s="2">
        <v>0.35299999999999998</v>
      </c>
    </row>
    <row r="13" spans="1:6" ht="15" thickBot="1" x14ac:dyDescent="0.4">
      <c r="A13" s="16" t="s">
        <v>15</v>
      </c>
      <c r="B13" s="2">
        <v>0.7</v>
      </c>
      <c r="C13" s="2">
        <v>0.73</v>
      </c>
      <c r="D13" s="2">
        <v>0.76</v>
      </c>
      <c r="E13" s="2">
        <v>0.74</v>
      </c>
      <c r="F13" s="2">
        <v>0.67859999999999998</v>
      </c>
    </row>
    <row r="15" spans="1:6" x14ac:dyDescent="0.35">
      <c r="A15" s="35" t="s">
        <v>51</v>
      </c>
      <c r="B15" s="35"/>
      <c r="C15" s="35"/>
      <c r="D15" s="35"/>
      <c r="E15" s="35"/>
      <c r="F15" s="35"/>
    </row>
  </sheetData>
  <mergeCells count="3">
    <mergeCell ref="A1:F1"/>
    <mergeCell ref="A2:F2"/>
    <mergeCell ref="A15:F15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AB34-5385-4A25-B8A6-288F4E3AF0E1}">
  <dimension ref="A1:F15"/>
  <sheetViews>
    <sheetView topLeftCell="D1" workbookViewId="0">
      <selection activeCell="E17" sqref="E17"/>
    </sheetView>
  </sheetViews>
  <sheetFormatPr defaultColWidth="20.54296875" defaultRowHeight="14.5" x14ac:dyDescent="0.35"/>
  <sheetData>
    <row r="1" spans="1:6" ht="21" x14ac:dyDescent="0.5">
      <c r="A1" s="33" t="s">
        <v>30</v>
      </c>
      <c r="B1" s="33"/>
      <c r="C1" s="33"/>
      <c r="D1" s="33"/>
      <c r="E1" s="33"/>
      <c r="F1" s="33"/>
    </row>
    <row r="2" spans="1:6" ht="15" thickBot="1" x14ac:dyDescent="0.4">
      <c r="A2" s="34" t="s">
        <v>17</v>
      </c>
      <c r="B2" s="34"/>
      <c r="C2" s="34"/>
      <c r="D2" s="34"/>
      <c r="E2" s="34"/>
      <c r="F2" s="34"/>
    </row>
    <row r="3" spans="1:6" ht="15" thickBot="1" x14ac:dyDescent="0.4">
      <c r="A3" s="17" t="s">
        <v>0</v>
      </c>
      <c r="B3" s="18" t="s">
        <v>19</v>
      </c>
      <c r="C3" s="18" t="s">
        <v>20</v>
      </c>
      <c r="D3" s="18" t="s">
        <v>21</v>
      </c>
      <c r="E3" s="18" t="s">
        <v>28</v>
      </c>
      <c r="F3" s="21" t="s">
        <v>29</v>
      </c>
    </row>
    <row r="4" spans="1:6" ht="15" thickBot="1" x14ac:dyDescent="0.4">
      <c r="A4" s="16" t="s">
        <v>6</v>
      </c>
      <c r="B4" s="4">
        <v>1230433</v>
      </c>
      <c r="C4" s="4">
        <v>1411298</v>
      </c>
      <c r="D4" s="4">
        <v>1584207</v>
      </c>
      <c r="E4" s="4">
        <v>1871392</v>
      </c>
      <c r="F4" s="19">
        <v>2118240</v>
      </c>
    </row>
    <row r="5" spans="1:6" ht="15" thickBot="1" x14ac:dyDescent="0.4">
      <c r="A5" s="16" t="s">
        <v>7</v>
      </c>
      <c r="B5" s="4">
        <v>16193</v>
      </c>
      <c r="C5" s="4">
        <v>23339</v>
      </c>
      <c r="D5" s="4">
        <v>31896</v>
      </c>
      <c r="E5" s="4">
        <v>40888</v>
      </c>
      <c r="F5" s="19">
        <v>47227</v>
      </c>
    </row>
    <row r="6" spans="1:6" ht="15" thickBot="1" x14ac:dyDescent="0.4">
      <c r="A6" s="16" t="s">
        <v>8</v>
      </c>
      <c r="B6" s="4">
        <v>932522</v>
      </c>
      <c r="C6" s="4">
        <v>1064572</v>
      </c>
      <c r="D6" s="4">
        <v>1180841</v>
      </c>
      <c r="E6" s="4">
        <v>1412825</v>
      </c>
      <c r="F6" s="19">
        <v>1610348</v>
      </c>
    </row>
    <row r="7" spans="1:6" ht="15" thickBot="1" x14ac:dyDescent="0.4">
      <c r="A7" s="16" t="s">
        <v>9</v>
      </c>
      <c r="B7" s="4">
        <v>733729</v>
      </c>
      <c r="C7" s="4">
        <v>859020</v>
      </c>
      <c r="D7" s="4">
        <v>1019638</v>
      </c>
      <c r="E7" s="4">
        <v>1184406</v>
      </c>
      <c r="F7" s="19">
        <v>1341766</v>
      </c>
    </row>
    <row r="8" spans="1:6" ht="15" thickBot="1" x14ac:dyDescent="0.4">
      <c r="A8" s="16" t="s">
        <v>10</v>
      </c>
      <c r="B8" s="4">
        <v>91631</v>
      </c>
      <c r="C8" s="4">
        <v>107231</v>
      </c>
      <c r="D8" s="4">
        <v>119325</v>
      </c>
      <c r="E8" s="4">
        <v>127700</v>
      </c>
      <c r="F8" s="19">
        <v>141450</v>
      </c>
    </row>
    <row r="9" spans="1:6" ht="15" thickBot="1" x14ac:dyDescent="0.4">
      <c r="A9" s="16" t="s">
        <v>11</v>
      </c>
      <c r="B9" s="4">
        <v>147508</v>
      </c>
      <c r="C9" s="4">
        <v>170651</v>
      </c>
      <c r="D9" s="4">
        <v>200715</v>
      </c>
      <c r="E9" s="4">
        <v>230700</v>
      </c>
      <c r="F9" s="19">
        <v>265400</v>
      </c>
    </row>
    <row r="10" spans="1:6" ht="15" thickBot="1" x14ac:dyDescent="0.4">
      <c r="A10" s="16" t="s">
        <v>12</v>
      </c>
      <c r="B10" s="5">
        <v>1.14E-2</v>
      </c>
      <c r="C10" s="5">
        <v>7.6E-3</v>
      </c>
      <c r="D10" s="5">
        <v>4.7999999999999996E-3</v>
      </c>
      <c r="E10" s="5">
        <v>4.1999999999999997E-3</v>
      </c>
      <c r="F10" s="20">
        <v>4.0000000000000001E-3</v>
      </c>
    </row>
    <row r="11" spans="1:6" ht="15" thickBot="1" x14ac:dyDescent="0.4">
      <c r="A11" s="16" t="s">
        <v>26</v>
      </c>
      <c r="B11" s="5">
        <v>0.19120000000000001</v>
      </c>
      <c r="C11" s="5">
        <v>0.19159999999999999</v>
      </c>
      <c r="D11" s="5">
        <v>0.18340000000000001</v>
      </c>
      <c r="E11" s="5">
        <v>0.1633</v>
      </c>
      <c r="F11" s="20">
        <v>0.16600000000000001</v>
      </c>
    </row>
    <row r="12" spans="1:6" ht="15" thickBot="1" x14ac:dyDescent="0.4">
      <c r="A12" s="16" t="s">
        <v>14</v>
      </c>
      <c r="B12" s="5">
        <v>0.46300000000000002</v>
      </c>
      <c r="C12" s="5">
        <v>0.48699999999999999</v>
      </c>
      <c r="D12" s="5">
        <v>0.45800000000000002</v>
      </c>
      <c r="E12" s="5">
        <v>0.42199999999999999</v>
      </c>
      <c r="F12" s="20">
        <v>0.41799999999999998</v>
      </c>
    </row>
    <row r="13" spans="1:6" x14ac:dyDescent="0.35">
      <c r="A13" s="22" t="s">
        <v>15</v>
      </c>
      <c r="B13" s="23">
        <v>0.77700000000000002</v>
      </c>
      <c r="C13" s="23">
        <v>0.79200000000000004</v>
      </c>
      <c r="D13" s="23">
        <v>0.82799999999999996</v>
      </c>
      <c r="E13" s="23">
        <v>0.80300000000000005</v>
      </c>
      <c r="F13" s="24">
        <v>0.81</v>
      </c>
    </row>
    <row r="15" spans="1:6" x14ac:dyDescent="0.35">
      <c r="A15" s="35" t="s">
        <v>18</v>
      </c>
      <c r="B15" s="35"/>
      <c r="C15" s="35"/>
      <c r="D15" s="35"/>
      <c r="E15" s="35"/>
      <c r="F15" s="35"/>
    </row>
  </sheetData>
  <mergeCells count="3">
    <mergeCell ref="A1:F1"/>
    <mergeCell ref="A2:F2"/>
    <mergeCell ref="A15:F15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13A3-D333-494A-864E-8DFF7EB11608}">
  <dimension ref="A1:F15"/>
  <sheetViews>
    <sheetView topLeftCell="D1" workbookViewId="0">
      <selection activeCell="E17" sqref="E17"/>
    </sheetView>
  </sheetViews>
  <sheetFormatPr defaultColWidth="20.54296875" defaultRowHeight="14.5" x14ac:dyDescent="0.35"/>
  <sheetData>
    <row r="1" spans="1:6" ht="21" x14ac:dyDescent="0.5">
      <c r="A1" s="33" t="s">
        <v>32</v>
      </c>
      <c r="B1" s="33"/>
      <c r="C1" s="33"/>
      <c r="D1" s="33"/>
      <c r="E1" s="33"/>
      <c r="F1" s="33"/>
    </row>
    <row r="2" spans="1:6" ht="15" thickBot="1" x14ac:dyDescent="0.4">
      <c r="A2" s="34" t="s">
        <v>17</v>
      </c>
      <c r="B2" s="34"/>
      <c r="C2" s="34"/>
      <c r="D2" s="34"/>
      <c r="E2" s="34"/>
      <c r="F2" s="34"/>
    </row>
    <row r="3" spans="1:6" ht="15" thickBot="1" x14ac:dyDescent="0.4">
      <c r="A3" s="17" t="s">
        <v>0</v>
      </c>
      <c r="B3" s="18" t="s">
        <v>19</v>
      </c>
      <c r="C3" s="18" t="s">
        <v>20</v>
      </c>
      <c r="D3" s="18" t="s">
        <v>31</v>
      </c>
      <c r="E3" s="18" t="s">
        <v>28</v>
      </c>
      <c r="F3" s="21" t="s">
        <v>29</v>
      </c>
    </row>
    <row r="4" spans="1:6" ht="15" thickBot="1" x14ac:dyDescent="0.4">
      <c r="A4" s="16" t="s">
        <v>6</v>
      </c>
      <c r="B4" s="4">
        <v>996118</v>
      </c>
      <c r="C4" s="4">
        <v>1175178</v>
      </c>
      <c r="D4" s="4">
        <v>1317326</v>
      </c>
      <c r="E4" s="4">
        <v>1477209</v>
      </c>
      <c r="F4" s="19">
        <v>1752171</v>
      </c>
    </row>
    <row r="5" spans="1:6" ht="15" thickBot="1" x14ac:dyDescent="0.4">
      <c r="A5" s="16" t="s">
        <v>7</v>
      </c>
      <c r="B5" s="4">
        <v>6588</v>
      </c>
      <c r="C5" s="4">
        <v>13025</v>
      </c>
      <c r="D5" s="4">
        <v>9580</v>
      </c>
      <c r="E5" s="4">
        <v>24861</v>
      </c>
      <c r="F5" s="19">
        <v>30120</v>
      </c>
    </row>
    <row r="6" spans="1:6" ht="15" thickBot="1" x14ac:dyDescent="0.4">
      <c r="A6" s="16" t="s">
        <v>8</v>
      </c>
      <c r="B6" s="4">
        <v>707306</v>
      </c>
      <c r="C6" s="4">
        <v>821721</v>
      </c>
      <c r="D6" s="4">
        <v>946945</v>
      </c>
      <c r="E6" s="4">
        <v>1068604</v>
      </c>
      <c r="F6" s="19">
        <v>1252430</v>
      </c>
    </row>
    <row r="7" spans="1:6" ht="15" thickBot="1" x14ac:dyDescent="0.4">
      <c r="A7" s="16" t="s">
        <v>9</v>
      </c>
      <c r="B7" s="4">
        <v>623720</v>
      </c>
      <c r="C7" s="4">
        <v>707696</v>
      </c>
      <c r="D7" s="4">
        <v>845303</v>
      </c>
      <c r="E7" s="4">
        <v>965068</v>
      </c>
      <c r="F7" s="19">
        <v>1125000</v>
      </c>
    </row>
    <row r="8" spans="1:6" ht="15" thickBot="1" x14ac:dyDescent="0.4">
      <c r="A8" s="16" t="s">
        <v>10</v>
      </c>
      <c r="B8" s="4">
        <v>142873</v>
      </c>
      <c r="C8" s="4">
        <v>185134</v>
      </c>
      <c r="D8" s="4">
        <v>186300</v>
      </c>
      <c r="E8" s="4">
        <v>193500</v>
      </c>
      <c r="F8" s="19">
        <v>215400</v>
      </c>
    </row>
    <row r="9" spans="1:6" ht="15" thickBot="1" x14ac:dyDescent="0.4">
      <c r="A9" s="16" t="s">
        <v>25</v>
      </c>
      <c r="B9" s="4">
        <v>101603</v>
      </c>
      <c r="C9" s="4">
        <v>115160</v>
      </c>
      <c r="D9" s="4">
        <v>125417</v>
      </c>
      <c r="E9" s="4">
        <v>151200</v>
      </c>
      <c r="F9" s="19">
        <v>182500</v>
      </c>
    </row>
    <row r="10" spans="1:6" ht="15" thickBot="1" x14ac:dyDescent="0.4">
      <c r="A10" s="16" t="s">
        <v>12</v>
      </c>
      <c r="B10" s="5">
        <v>1.0500000000000001E-2</v>
      </c>
      <c r="C10" s="5">
        <v>7.3000000000000001E-3</v>
      </c>
      <c r="D10" s="5">
        <v>3.8999999999999998E-3</v>
      </c>
      <c r="E10" s="5">
        <v>3.0999999999999999E-3</v>
      </c>
      <c r="F10" s="20">
        <v>3.0000000000000001E-3</v>
      </c>
    </row>
    <row r="11" spans="1:6" ht="15" thickBot="1" x14ac:dyDescent="0.4">
      <c r="A11" s="16" t="s">
        <v>26</v>
      </c>
      <c r="B11" s="5">
        <v>0.19120000000000001</v>
      </c>
      <c r="C11" s="5">
        <v>0.18540000000000001</v>
      </c>
      <c r="D11" s="5">
        <v>0.1764</v>
      </c>
      <c r="E11" s="5">
        <v>0.1663</v>
      </c>
      <c r="F11" s="20">
        <v>0.16550000000000001</v>
      </c>
    </row>
    <row r="12" spans="1:6" ht="15" thickBot="1" x14ac:dyDescent="0.4">
      <c r="A12" s="16" t="s">
        <v>14</v>
      </c>
      <c r="B12" s="5">
        <v>0.45</v>
      </c>
      <c r="C12" s="5">
        <v>0.45</v>
      </c>
      <c r="D12" s="5">
        <v>0.47</v>
      </c>
      <c r="E12" s="5">
        <v>0.43</v>
      </c>
      <c r="F12" s="20">
        <v>0.40500000000000003</v>
      </c>
    </row>
    <row r="13" spans="1:6" x14ac:dyDescent="0.35">
      <c r="A13" s="22" t="s">
        <v>15</v>
      </c>
      <c r="B13" s="23">
        <v>0.72</v>
      </c>
      <c r="C13" s="23">
        <v>0.75</v>
      </c>
      <c r="D13" s="23">
        <v>0.81</v>
      </c>
      <c r="E13" s="23">
        <v>0.79</v>
      </c>
      <c r="F13" s="24">
        <v>0.78500000000000003</v>
      </c>
    </row>
    <row r="15" spans="1:6" x14ac:dyDescent="0.35">
      <c r="A15" s="35" t="s">
        <v>33</v>
      </c>
      <c r="B15" s="35"/>
      <c r="C15" s="35"/>
      <c r="D15" s="35"/>
      <c r="E15" s="35"/>
      <c r="F15" s="35"/>
    </row>
  </sheetData>
  <mergeCells count="3">
    <mergeCell ref="A1:F1"/>
    <mergeCell ref="A2:F2"/>
    <mergeCell ref="A15:F15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EA44-573E-4DD5-9594-4C2BC5B3663D}">
  <dimension ref="A1:F15"/>
  <sheetViews>
    <sheetView workbookViewId="0">
      <selection activeCell="E17" sqref="E17"/>
    </sheetView>
  </sheetViews>
  <sheetFormatPr defaultColWidth="20.54296875" defaultRowHeight="14.5" x14ac:dyDescent="0.35"/>
  <sheetData>
    <row r="1" spans="1:6" ht="21" x14ac:dyDescent="0.5">
      <c r="A1" s="33" t="s">
        <v>36</v>
      </c>
      <c r="B1" s="33"/>
      <c r="C1" s="33"/>
      <c r="D1" s="33"/>
      <c r="E1" s="33"/>
      <c r="F1" s="33"/>
    </row>
    <row r="2" spans="1:6" ht="15" thickBot="1" x14ac:dyDescent="0.4">
      <c r="A2" s="34" t="s">
        <v>17</v>
      </c>
      <c r="B2" s="34"/>
      <c r="C2" s="34"/>
      <c r="D2" s="34"/>
      <c r="E2" s="34"/>
      <c r="F2" s="34"/>
    </row>
    <row r="3" spans="1:6" ht="15" thickBot="1" x14ac:dyDescent="0.4">
      <c r="A3" s="17" t="s">
        <v>0</v>
      </c>
      <c r="B3" s="18" t="s">
        <v>19</v>
      </c>
      <c r="C3" s="18" t="s">
        <v>20</v>
      </c>
      <c r="D3" s="18" t="s">
        <v>21</v>
      </c>
      <c r="E3" s="18" t="s">
        <v>28</v>
      </c>
      <c r="F3" s="18" t="s">
        <v>29</v>
      </c>
    </row>
    <row r="4" spans="1:6" ht="15" thickBot="1" x14ac:dyDescent="0.4">
      <c r="A4" s="16" t="s">
        <v>6</v>
      </c>
      <c r="B4" s="1">
        <v>1260633</v>
      </c>
      <c r="C4" s="1">
        <v>1314805</v>
      </c>
      <c r="D4" s="1">
        <v>1461831</v>
      </c>
      <c r="E4" s="1">
        <v>1561835</v>
      </c>
      <c r="F4" s="1">
        <v>1818171</v>
      </c>
    </row>
    <row r="5" spans="1:6" ht="15" thickBot="1" x14ac:dyDescent="0.4">
      <c r="A5" s="16" t="s">
        <v>7</v>
      </c>
      <c r="B5" s="1">
        <v>2022</v>
      </c>
      <c r="C5" s="1">
        <v>3457</v>
      </c>
      <c r="D5" s="1">
        <v>2507</v>
      </c>
      <c r="E5" s="1">
        <v>8245</v>
      </c>
      <c r="F5" s="1">
        <v>16630</v>
      </c>
    </row>
    <row r="6" spans="1:6" ht="15" thickBot="1" x14ac:dyDescent="0.4">
      <c r="A6" s="16" t="s">
        <v>8</v>
      </c>
      <c r="B6" s="1">
        <v>1106332</v>
      </c>
      <c r="C6" s="1">
        <v>1146219</v>
      </c>
      <c r="D6" s="1">
        <v>1281163</v>
      </c>
      <c r="E6" s="1">
        <v>1369713</v>
      </c>
      <c r="F6" s="1">
        <v>1566623</v>
      </c>
    </row>
    <row r="7" spans="1:6" ht="15" thickBot="1" x14ac:dyDescent="0.4">
      <c r="A7" s="16" t="s">
        <v>34</v>
      </c>
      <c r="B7" s="1">
        <v>739407</v>
      </c>
      <c r="C7" s="1">
        <v>785104</v>
      </c>
      <c r="D7" s="1">
        <v>884681</v>
      </c>
      <c r="E7" s="1">
        <v>983325</v>
      </c>
      <c r="F7" s="1">
        <v>1116637</v>
      </c>
    </row>
    <row r="8" spans="1:6" ht="15" thickBot="1" x14ac:dyDescent="0.4">
      <c r="A8" s="16" t="s">
        <v>10</v>
      </c>
      <c r="B8" s="1">
        <v>44542</v>
      </c>
      <c r="C8" s="1">
        <v>43450</v>
      </c>
      <c r="D8" s="1">
        <v>54672</v>
      </c>
      <c r="E8" s="1">
        <v>55200</v>
      </c>
      <c r="F8" s="1">
        <v>60100</v>
      </c>
    </row>
    <row r="9" spans="1:6" ht="15" thickBot="1" x14ac:dyDescent="0.4">
      <c r="A9" s="16" t="s">
        <v>25</v>
      </c>
      <c r="B9" s="1">
        <v>90938</v>
      </c>
      <c r="C9" s="1">
        <v>95487</v>
      </c>
      <c r="D9" s="1">
        <v>99855</v>
      </c>
      <c r="E9" s="1">
        <v>106476</v>
      </c>
      <c r="F9" s="1">
        <v>127363</v>
      </c>
    </row>
    <row r="10" spans="1:6" ht="15" thickBot="1" x14ac:dyDescent="0.4">
      <c r="A10" s="16" t="s">
        <v>12</v>
      </c>
      <c r="B10" s="2">
        <v>5.7299999999999997E-2</v>
      </c>
      <c r="C10" s="2">
        <v>4.8000000000000001E-2</v>
      </c>
      <c r="D10" s="2">
        <v>2.7199999999999998E-2</v>
      </c>
      <c r="E10" s="2">
        <v>7.3000000000000001E-3</v>
      </c>
      <c r="F10" s="2">
        <v>4.0000000000000001E-3</v>
      </c>
    </row>
    <row r="11" spans="1:6" ht="15" thickBot="1" x14ac:dyDescent="0.4">
      <c r="A11" s="16" t="s">
        <v>26</v>
      </c>
      <c r="B11" s="2">
        <v>0.14319999999999999</v>
      </c>
      <c r="C11" s="2">
        <v>0.14499999999999999</v>
      </c>
      <c r="D11" s="2">
        <v>0.155</v>
      </c>
      <c r="E11" s="2">
        <v>0.15970000000000001</v>
      </c>
      <c r="F11" s="2">
        <v>0.1701</v>
      </c>
    </row>
    <row r="12" spans="1:6" ht="15" thickBot="1" x14ac:dyDescent="0.4">
      <c r="A12" s="16" t="s">
        <v>14</v>
      </c>
      <c r="B12" s="2">
        <v>0.45500000000000002</v>
      </c>
      <c r="C12" s="2">
        <v>0.47399999999999998</v>
      </c>
      <c r="D12" s="2">
        <v>0.43</v>
      </c>
      <c r="E12" s="2">
        <v>0.41439999999999999</v>
      </c>
      <c r="F12" s="2">
        <v>0.3795</v>
      </c>
    </row>
    <row r="13" spans="1:6" ht="15" thickBot="1" x14ac:dyDescent="0.4">
      <c r="A13" s="16" t="s">
        <v>35</v>
      </c>
      <c r="B13" s="2">
        <v>0.8014</v>
      </c>
      <c r="C13" s="2">
        <v>0.81599999999999995</v>
      </c>
      <c r="D13" s="2">
        <v>0.86899999999999999</v>
      </c>
      <c r="E13" s="2">
        <v>0.95389999999999997</v>
      </c>
      <c r="F13" s="2">
        <v>0.96819999999999995</v>
      </c>
    </row>
    <row r="15" spans="1:6" x14ac:dyDescent="0.35">
      <c r="A15" s="35" t="s">
        <v>37</v>
      </c>
      <c r="B15" s="35"/>
      <c r="C15" s="35"/>
      <c r="D15" s="35"/>
      <c r="E15" s="35"/>
      <c r="F15" s="35"/>
    </row>
  </sheetData>
  <mergeCells count="3">
    <mergeCell ref="A1:F1"/>
    <mergeCell ref="A2:F2"/>
    <mergeCell ref="A15:F15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C9FE-B1A0-498C-90C9-F629D56C26CB}">
  <dimension ref="A1:F15"/>
  <sheetViews>
    <sheetView workbookViewId="0">
      <selection activeCell="D11" sqref="D11"/>
    </sheetView>
  </sheetViews>
  <sheetFormatPr defaultColWidth="20.54296875" defaultRowHeight="14.5" x14ac:dyDescent="0.35"/>
  <sheetData>
    <row r="1" spans="1:6" ht="21" x14ac:dyDescent="0.5">
      <c r="A1" s="33" t="s">
        <v>38</v>
      </c>
      <c r="B1" s="33"/>
      <c r="C1" s="33"/>
      <c r="D1" s="33"/>
      <c r="E1" s="33"/>
      <c r="F1" s="33"/>
    </row>
    <row r="2" spans="1:6" ht="15" thickBot="1" x14ac:dyDescent="0.4">
      <c r="A2" s="34" t="s">
        <v>17</v>
      </c>
      <c r="B2" s="34"/>
      <c r="C2" s="34"/>
      <c r="D2" s="34"/>
      <c r="E2" s="34"/>
      <c r="F2" s="34"/>
    </row>
    <row r="3" spans="1:6" ht="15" thickBot="1" x14ac:dyDescent="0.4">
      <c r="A3" s="17" t="s">
        <v>0</v>
      </c>
      <c r="B3" s="18" t="s">
        <v>19</v>
      </c>
      <c r="C3" s="18" t="s">
        <v>20</v>
      </c>
      <c r="D3" s="18" t="s">
        <v>21</v>
      </c>
      <c r="E3" s="18" t="s">
        <v>28</v>
      </c>
      <c r="F3" s="21" t="s">
        <v>29</v>
      </c>
    </row>
    <row r="4" spans="1:6" ht="15" thickBot="1" x14ac:dyDescent="0.4">
      <c r="A4" s="16" t="s">
        <v>6</v>
      </c>
      <c r="B4" s="6">
        <v>1155364.8</v>
      </c>
      <c r="C4" s="6">
        <v>1215354.7</v>
      </c>
      <c r="D4" s="6">
        <v>1402171.1</v>
      </c>
      <c r="E4" s="6">
        <v>1533398.9</v>
      </c>
      <c r="F4" s="25">
        <v>1684335.7</v>
      </c>
    </row>
    <row r="5" spans="1:6" ht="15" thickBot="1" x14ac:dyDescent="0.4">
      <c r="A5" s="16" t="s">
        <v>7</v>
      </c>
      <c r="B5" s="7">
        <v>828.95</v>
      </c>
      <c r="C5" s="6">
        <v>7272.28</v>
      </c>
      <c r="D5" s="6">
        <v>14109.62</v>
      </c>
      <c r="E5" s="6">
        <v>17788.490000000002</v>
      </c>
      <c r="F5" s="25">
        <v>20715.419999999998</v>
      </c>
    </row>
    <row r="6" spans="1:6" ht="15" thickBot="1" x14ac:dyDescent="0.4">
      <c r="A6" s="16" t="s">
        <v>8</v>
      </c>
      <c r="B6" s="6">
        <v>966996.9</v>
      </c>
      <c r="C6" s="6">
        <v>1045938.6</v>
      </c>
      <c r="D6" s="6">
        <v>1203687.7</v>
      </c>
      <c r="E6" s="6">
        <v>1326957.5</v>
      </c>
      <c r="F6" s="25">
        <v>1472034.9</v>
      </c>
    </row>
    <row r="7" spans="1:6" ht="15" thickBot="1" x14ac:dyDescent="0.4">
      <c r="A7" s="16" t="s">
        <v>9</v>
      </c>
      <c r="B7" s="6">
        <v>706300.5</v>
      </c>
      <c r="C7" s="6">
        <v>777155.2</v>
      </c>
      <c r="D7" s="6">
        <v>940933.1</v>
      </c>
      <c r="E7" s="6">
        <v>1043000</v>
      </c>
      <c r="F7" s="25">
        <v>1162450</v>
      </c>
    </row>
    <row r="8" spans="1:6" ht="15" thickBot="1" x14ac:dyDescent="0.4">
      <c r="A8" s="16" t="s">
        <v>10</v>
      </c>
      <c r="B8" s="6">
        <v>66847.899999999994</v>
      </c>
      <c r="C8" s="6">
        <v>103899.3</v>
      </c>
      <c r="D8" s="6">
        <v>92044.1</v>
      </c>
      <c r="E8" s="6">
        <v>105450</v>
      </c>
      <c r="F8" s="25">
        <v>112300</v>
      </c>
    </row>
    <row r="9" spans="1:6" ht="15" thickBot="1" x14ac:dyDescent="0.4">
      <c r="A9" s="16" t="s">
        <v>11</v>
      </c>
      <c r="B9" s="6">
        <v>55191</v>
      </c>
      <c r="C9" s="6">
        <v>62390.1</v>
      </c>
      <c r="D9" s="6">
        <v>75417</v>
      </c>
      <c r="E9" s="6">
        <v>93850.8</v>
      </c>
      <c r="F9" s="25">
        <v>115457.4</v>
      </c>
    </row>
    <row r="10" spans="1:6" ht="15" thickBot="1" x14ac:dyDescent="0.4">
      <c r="A10" s="16" t="s">
        <v>12</v>
      </c>
      <c r="B10" s="5">
        <v>3.09E-2</v>
      </c>
      <c r="C10" s="5">
        <v>1.72E-2</v>
      </c>
      <c r="D10" s="5">
        <v>8.8999999999999999E-3</v>
      </c>
      <c r="E10" s="5">
        <v>6.7999999999999996E-3</v>
      </c>
      <c r="F10" s="20">
        <v>4.4999999999999997E-3</v>
      </c>
    </row>
    <row r="11" spans="1:6" ht="15" thickBot="1" x14ac:dyDescent="0.4">
      <c r="A11" s="16" t="s">
        <v>26</v>
      </c>
      <c r="B11" s="5">
        <v>0.14990000000000001</v>
      </c>
      <c r="C11" s="5">
        <v>0.15679999999999999</v>
      </c>
      <c r="D11" s="5">
        <v>0.16239999999999999</v>
      </c>
      <c r="E11" s="5">
        <v>0.16309999999999999</v>
      </c>
      <c r="F11" s="20">
        <v>0.1719</v>
      </c>
    </row>
    <row r="12" spans="1:6" ht="15" thickBot="1" x14ac:dyDescent="0.4">
      <c r="A12" s="16" t="s">
        <v>14</v>
      </c>
      <c r="B12" s="5">
        <v>0.42870000000000003</v>
      </c>
      <c r="C12" s="5">
        <v>0.44240000000000002</v>
      </c>
      <c r="D12" s="5">
        <v>0.42249999999999999</v>
      </c>
      <c r="E12" s="5">
        <v>0.41149999999999998</v>
      </c>
      <c r="F12" s="20">
        <v>0.37819999999999998</v>
      </c>
    </row>
    <row r="13" spans="1:6" x14ac:dyDescent="0.35">
      <c r="A13" s="22" t="s">
        <v>35</v>
      </c>
      <c r="B13" s="23">
        <v>0.81799999999999995</v>
      </c>
      <c r="C13" s="23">
        <v>0.8871</v>
      </c>
      <c r="D13" s="23">
        <v>0.92430000000000001</v>
      </c>
      <c r="E13" s="23">
        <v>0.93300000000000005</v>
      </c>
      <c r="F13" s="24">
        <v>0.94750000000000001</v>
      </c>
    </row>
    <row r="15" spans="1:6" x14ac:dyDescent="0.35">
      <c r="A15" s="35" t="s">
        <v>39</v>
      </c>
      <c r="B15" s="35"/>
      <c r="C15" s="35"/>
      <c r="D15" s="35"/>
      <c r="E15" s="35"/>
      <c r="F15" s="35"/>
    </row>
  </sheetData>
  <mergeCells count="3">
    <mergeCell ref="A1:F1"/>
    <mergeCell ref="A2:F2"/>
    <mergeCell ref="A15:F1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SBI FY 2021 - 2025</vt:lpstr>
      <vt:lpstr>Ratio Analysis</vt:lpstr>
      <vt:lpstr>HDFC FY 2021 - 2025</vt:lpstr>
      <vt:lpstr>ICICI FY 2021 - 2025</vt:lpstr>
      <vt:lpstr>AXIS FY 2021 - 2025</vt:lpstr>
      <vt:lpstr>PNB FY 2021 - 2025</vt:lpstr>
      <vt:lpstr>BOB FY 2021 - 2025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Apsara Mitra</dc:creator>
  <cp:lastModifiedBy>Apsara Mitra</cp:lastModifiedBy>
  <dcterms:created xsi:type="dcterms:W3CDTF">2026-04-06T09:12:16Z</dcterms:created>
  <dcterms:modified xsi:type="dcterms:W3CDTF">2026-05-08T04:04:32Z</dcterms:modified>
</cp:coreProperties>
</file>